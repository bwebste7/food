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Webster(bwebste\Documents\Eeshani\food tables\"/>
    </mc:Choice>
  </mc:AlternateContent>
  <xr:revisionPtr revIDLastSave="0" documentId="8_{A8D45E64-23BE-49FB-BC0B-46B3A16ECBEA}" xr6:coauthVersionLast="47" xr6:coauthVersionMax="47" xr10:uidLastSave="{00000000-0000-0000-0000-000000000000}"/>
  <bookViews>
    <workbookView xWindow="-120" yWindow="-120" windowWidth="29040" windowHeight="15720" activeTab="1" xr2:uid="{B90EA7B3-DD00-464E-9ED2-6BB98FB1448C}"/>
  </bookViews>
  <sheets>
    <sheet name="Table A2" sheetId="5" r:id="rId1"/>
    <sheet name="Table A8" sheetId="6" r:id="rId2"/>
    <sheet name="FAO Data A1" sheetId="4" r:id="rId3"/>
    <sheet name="FAO Data A2" sheetId="1" r:id="rId4"/>
    <sheet name="FAO sources" sheetId="2" r:id="rId5"/>
  </sheets>
  <definedNames>
    <definedName name="_xlnm._FilterDatabase" localSheetId="2" hidden="1">'FAO Data A1'!$C$2:$S$133</definedName>
    <definedName name="_xlnm._FilterDatabase" localSheetId="3" hidden="1">'FAO Data A2'!$A$2:$R$90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8" i="6" l="1"/>
  <c r="AG28" i="6"/>
  <c r="AF28" i="6"/>
  <c r="AE28" i="6"/>
  <c r="AD28" i="6"/>
  <c r="AC28" i="6"/>
  <c r="J28" i="6" s="1"/>
  <c r="S28" i="6" s="1"/>
  <c r="AB28" i="6"/>
  <c r="I28" i="6" s="1"/>
  <c r="R28" i="6" s="1"/>
  <c r="AA28" i="6"/>
  <c r="H28" i="6" s="1"/>
  <c r="Q28" i="6" s="1"/>
  <c r="Z28" i="6"/>
  <c r="G28" i="6" s="1"/>
  <c r="P28" i="6" s="1"/>
  <c r="O28" i="6"/>
  <c r="X28" i="6" s="1"/>
  <c r="N28" i="6"/>
  <c r="W28" i="6" s="1"/>
  <c r="M28" i="6"/>
  <c r="V28" i="6" s="1"/>
  <c r="L28" i="6"/>
  <c r="U28" i="6" s="1"/>
  <c r="K28" i="6"/>
  <c r="T28" i="6" s="1"/>
  <c r="AH27" i="6"/>
  <c r="O27" i="6" s="1"/>
  <c r="X27" i="6" s="1"/>
  <c r="AG27" i="6"/>
  <c r="N27" i="6" s="1"/>
  <c r="W27" i="6" s="1"/>
  <c r="AF27" i="6"/>
  <c r="M27" i="6" s="1"/>
  <c r="V27" i="6" s="1"/>
  <c r="AE27" i="6"/>
  <c r="L27" i="6" s="1"/>
  <c r="U27" i="6" s="1"/>
  <c r="AD27" i="6"/>
  <c r="K27" i="6" s="1"/>
  <c r="T27" i="6" s="1"/>
  <c r="AC27" i="6"/>
  <c r="J27" i="6" s="1"/>
  <c r="S27" i="6" s="1"/>
  <c r="AB27" i="6"/>
  <c r="AA27" i="6"/>
  <c r="Z27" i="6"/>
  <c r="I27" i="6"/>
  <c r="R27" i="6" s="1"/>
  <c r="H27" i="6"/>
  <c r="Q27" i="6" s="1"/>
  <c r="G27" i="6"/>
  <c r="P27" i="6" s="1"/>
  <c r="AH26" i="6"/>
  <c r="O26" i="6" s="1"/>
  <c r="X26" i="6" s="1"/>
  <c r="AG26" i="6"/>
  <c r="N26" i="6" s="1"/>
  <c r="W26" i="6" s="1"/>
  <c r="AF26" i="6"/>
  <c r="M26" i="6" s="1"/>
  <c r="V26" i="6" s="1"/>
  <c r="AE26" i="6"/>
  <c r="AD26" i="6"/>
  <c r="AC26" i="6"/>
  <c r="AB26" i="6"/>
  <c r="AA26" i="6"/>
  <c r="Z26" i="6"/>
  <c r="G26" i="6" s="1"/>
  <c r="P26" i="6" s="1"/>
  <c r="L26" i="6"/>
  <c r="U26" i="6" s="1"/>
  <c r="K26" i="6"/>
  <c r="T26" i="6" s="1"/>
  <c r="J26" i="6"/>
  <c r="S26" i="6" s="1"/>
  <c r="I26" i="6"/>
  <c r="R26" i="6" s="1"/>
  <c r="H26" i="6"/>
  <c r="Q26" i="6" s="1"/>
  <c r="AH24" i="6"/>
  <c r="O24" i="6" s="1"/>
  <c r="X24" i="6" s="1"/>
  <c r="AG24" i="6"/>
  <c r="N24" i="6" s="1"/>
  <c r="AF24" i="6"/>
  <c r="M24" i="6" s="1"/>
  <c r="AE24" i="6"/>
  <c r="AD24" i="6"/>
  <c r="AC24" i="6"/>
  <c r="J24" i="6" s="1"/>
  <c r="S24" i="6" s="1"/>
  <c r="AB24" i="6"/>
  <c r="I24" i="6" s="1"/>
  <c r="R24" i="6" s="1"/>
  <c r="AA24" i="6"/>
  <c r="H24" i="6" s="1"/>
  <c r="Q24" i="6" s="1"/>
  <c r="Z24" i="6"/>
  <c r="G24" i="6" s="1"/>
  <c r="P24" i="6" s="1"/>
  <c r="W24" i="6"/>
  <c r="V24" i="6"/>
  <c r="L24" i="6"/>
  <c r="U24" i="6" s="1"/>
  <c r="K24" i="6"/>
  <c r="T24" i="6" s="1"/>
  <c r="AH23" i="6"/>
  <c r="O23" i="6" s="1"/>
  <c r="X23" i="6" s="1"/>
  <c r="AG23" i="6"/>
  <c r="N23" i="6" s="1"/>
  <c r="W23" i="6" s="1"/>
  <c r="AF23" i="6"/>
  <c r="M23" i="6" s="1"/>
  <c r="V23" i="6" s="1"/>
  <c r="AE23" i="6"/>
  <c r="L23" i="6" s="1"/>
  <c r="U23" i="6" s="1"/>
  <c r="AD23" i="6"/>
  <c r="AC23" i="6"/>
  <c r="AB23" i="6"/>
  <c r="AA23" i="6"/>
  <c r="H23" i="6" s="1"/>
  <c r="Q23" i="6" s="1"/>
  <c r="Z23" i="6"/>
  <c r="G23" i="6" s="1"/>
  <c r="P23" i="6" s="1"/>
  <c r="K23" i="6"/>
  <c r="T23" i="6" s="1"/>
  <c r="J23" i="6"/>
  <c r="S23" i="6" s="1"/>
  <c r="I23" i="6"/>
  <c r="R23" i="6" s="1"/>
  <c r="AH22" i="6"/>
  <c r="AG22" i="6"/>
  <c r="N22" i="6" s="1"/>
  <c r="W22" i="6" s="1"/>
  <c r="AF22" i="6"/>
  <c r="M22" i="6" s="1"/>
  <c r="V22" i="6" s="1"/>
  <c r="AE22" i="6"/>
  <c r="L22" i="6" s="1"/>
  <c r="U22" i="6" s="1"/>
  <c r="AD22" i="6"/>
  <c r="K22" i="6" s="1"/>
  <c r="T22" i="6" s="1"/>
  <c r="AC22" i="6"/>
  <c r="AB22" i="6"/>
  <c r="AA22" i="6"/>
  <c r="H22" i="6" s="1"/>
  <c r="Q22" i="6" s="1"/>
  <c r="Z22" i="6"/>
  <c r="G22" i="6" s="1"/>
  <c r="P22" i="6" s="1"/>
  <c r="O22" i="6"/>
  <c r="X22" i="6" s="1"/>
  <c r="J22" i="6"/>
  <c r="S22" i="6" s="1"/>
  <c r="I22" i="6"/>
  <c r="R22" i="6" s="1"/>
  <c r="AH21" i="6"/>
  <c r="O21" i="6" s="1"/>
  <c r="X21" i="6" s="1"/>
  <c r="AG21" i="6"/>
  <c r="N21" i="6" s="1"/>
  <c r="W21" i="6" s="1"/>
  <c r="AF21" i="6"/>
  <c r="M21" i="6" s="1"/>
  <c r="AE21" i="6"/>
  <c r="L21" i="6" s="1"/>
  <c r="AD21" i="6"/>
  <c r="K21" i="6" s="1"/>
  <c r="AC21" i="6"/>
  <c r="J21" i="6" s="1"/>
  <c r="S21" i="6" s="1"/>
  <c r="AB21" i="6"/>
  <c r="I21" i="6" s="1"/>
  <c r="R21" i="6" s="1"/>
  <c r="AA21" i="6"/>
  <c r="H21" i="6" s="1"/>
  <c r="Q21" i="6" s="1"/>
  <c r="Z21" i="6"/>
  <c r="G21" i="6" s="1"/>
  <c r="P21" i="6" s="1"/>
  <c r="V21" i="6"/>
  <c r="U21" i="6"/>
  <c r="T21" i="6"/>
  <c r="AH19" i="6"/>
  <c r="O19" i="6" s="1"/>
  <c r="X19" i="6" s="1"/>
  <c r="AG19" i="6"/>
  <c r="N19" i="6" s="1"/>
  <c r="W19" i="6" s="1"/>
  <c r="AF19" i="6"/>
  <c r="M19" i="6" s="1"/>
  <c r="V19" i="6" s="1"/>
  <c r="AE19" i="6"/>
  <c r="L19" i="6" s="1"/>
  <c r="U19" i="6" s="1"/>
  <c r="AD19" i="6"/>
  <c r="K19" i="6" s="1"/>
  <c r="T19" i="6" s="1"/>
  <c r="AC19" i="6"/>
  <c r="J19" i="6" s="1"/>
  <c r="S19" i="6" s="1"/>
  <c r="AB19" i="6"/>
  <c r="I19" i="6" s="1"/>
  <c r="R19" i="6" s="1"/>
  <c r="AA19" i="6"/>
  <c r="H19" i="6" s="1"/>
  <c r="Q19" i="6" s="1"/>
  <c r="Z19" i="6"/>
  <c r="G19" i="6" s="1"/>
  <c r="P19" i="6" s="1"/>
  <c r="AH18" i="6"/>
  <c r="O18" i="6" s="1"/>
  <c r="X18" i="6" s="1"/>
  <c r="AG18" i="6"/>
  <c r="N18" i="6" s="1"/>
  <c r="W18" i="6" s="1"/>
  <c r="AF18" i="6"/>
  <c r="M18" i="6" s="1"/>
  <c r="V18" i="6" s="1"/>
  <c r="AE18" i="6"/>
  <c r="L18" i="6" s="1"/>
  <c r="U18" i="6" s="1"/>
  <c r="AD18" i="6"/>
  <c r="K18" i="6" s="1"/>
  <c r="T18" i="6" s="1"/>
  <c r="AC18" i="6"/>
  <c r="J18" i="6" s="1"/>
  <c r="S18" i="6" s="1"/>
  <c r="AB18" i="6"/>
  <c r="I18" i="6" s="1"/>
  <c r="R18" i="6" s="1"/>
  <c r="AA18" i="6"/>
  <c r="H18" i="6" s="1"/>
  <c r="Q18" i="6" s="1"/>
  <c r="Z18" i="6"/>
  <c r="G18" i="6" s="1"/>
  <c r="P18" i="6" s="1"/>
  <c r="AH17" i="6"/>
  <c r="AG17" i="6"/>
  <c r="N17" i="6" s="1"/>
  <c r="W17" i="6" s="1"/>
  <c r="AF17" i="6"/>
  <c r="M17" i="6" s="1"/>
  <c r="V17" i="6" s="1"/>
  <c r="AE17" i="6"/>
  <c r="L17" i="6" s="1"/>
  <c r="U17" i="6" s="1"/>
  <c r="AD17" i="6"/>
  <c r="K17" i="6" s="1"/>
  <c r="T17" i="6" s="1"/>
  <c r="AC17" i="6"/>
  <c r="J17" i="6" s="1"/>
  <c r="S17" i="6" s="1"/>
  <c r="AB17" i="6"/>
  <c r="I17" i="6" s="1"/>
  <c r="R17" i="6" s="1"/>
  <c r="AA17" i="6"/>
  <c r="H17" i="6" s="1"/>
  <c r="Q17" i="6" s="1"/>
  <c r="Z17" i="6"/>
  <c r="G17" i="6" s="1"/>
  <c r="P17" i="6" s="1"/>
  <c r="O17" i="6"/>
  <c r="X17" i="6" s="1"/>
  <c r="AH16" i="6"/>
  <c r="O16" i="6" s="1"/>
  <c r="X16" i="6" s="1"/>
  <c r="AG16" i="6"/>
  <c r="N16" i="6" s="1"/>
  <c r="W16" i="6" s="1"/>
  <c r="AF16" i="6"/>
  <c r="M16" i="6" s="1"/>
  <c r="V16" i="6" s="1"/>
  <c r="AE16" i="6"/>
  <c r="L16" i="6" s="1"/>
  <c r="U16" i="6" s="1"/>
  <c r="AD16" i="6"/>
  <c r="K16" i="6" s="1"/>
  <c r="T16" i="6" s="1"/>
  <c r="AC16" i="6"/>
  <c r="J16" i="6" s="1"/>
  <c r="S16" i="6" s="1"/>
  <c r="AB16" i="6"/>
  <c r="I16" i="6" s="1"/>
  <c r="R16" i="6" s="1"/>
  <c r="AA16" i="6"/>
  <c r="H16" i="6" s="1"/>
  <c r="Q16" i="6" s="1"/>
  <c r="Z16" i="6"/>
  <c r="G16" i="6" s="1"/>
  <c r="P16" i="6" s="1"/>
  <c r="AH15" i="6"/>
  <c r="O15" i="6" s="1"/>
  <c r="X15" i="6" s="1"/>
  <c r="AG15" i="6"/>
  <c r="N15" i="6" s="1"/>
  <c r="W15" i="6" s="1"/>
  <c r="AF15" i="6"/>
  <c r="M15" i="6" s="1"/>
  <c r="V15" i="6" s="1"/>
  <c r="AE15" i="6"/>
  <c r="L15" i="6" s="1"/>
  <c r="U15" i="6" s="1"/>
  <c r="AD15" i="6"/>
  <c r="K15" i="6" s="1"/>
  <c r="T15" i="6" s="1"/>
  <c r="AC15" i="6"/>
  <c r="J15" i="6" s="1"/>
  <c r="S15" i="6" s="1"/>
  <c r="AB15" i="6"/>
  <c r="I15" i="6" s="1"/>
  <c r="R15" i="6" s="1"/>
  <c r="AA15" i="6"/>
  <c r="H15" i="6" s="1"/>
  <c r="Q15" i="6" s="1"/>
  <c r="Z15" i="6"/>
  <c r="G15" i="6" s="1"/>
  <c r="P15" i="6" s="1"/>
  <c r="AH14" i="6"/>
  <c r="O14" i="6" s="1"/>
  <c r="X14" i="6" s="1"/>
  <c r="AG14" i="6"/>
  <c r="N14" i="6" s="1"/>
  <c r="W14" i="6" s="1"/>
  <c r="AF14" i="6"/>
  <c r="M14" i="6" s="1"/>
  <c r="V14" i="6" s="1"/>
  <c r="AE14" i="6"/>
  <c r="L14" i="6" s="1"/>
  <c r="U14" i="6" s="1"/>
  <c r="AD14" i="6"/>
  <c r="K14" i="6" s="1"/>
  <c r="T14" i="6" s="1"/>
  <c r="AC14" i="6"/>
  <c r="AB14" i="6"/>
  <c r="AA14" i="6"/>
  <c r="Z14" i="6"/>
  <c r="G14" i="6" s="1"/>
  <c r="P14" i="6"/>
  <c r="J14" i="6"/>
  <c r="S14" i="6" s="1"/>
  <c r="I14" i="6"/>
  <c r="R14" i="6" s="1"/>
  <c r="H14" i="6"/>
  <c r="Q14" i="6" s="1"/>
  <c r="AH13" i="6"/>
  <c r="AG13" i="6"/>
  <c r="AF13" i="6"/>
  <c r="AE13" i="6"/>
  <c r="AD13" i="6"/>
  <c r="AC13" i="6"/>
  <c r="J13" i="6" s="1"/>
  <c r="S13" i="6" s="1"/>
  <c r="AB13" i="6"/>
  <c r="I13" i="6" s="1"/>
  <c r="R13" i="6" s="1"/>
  <c r="AA13" i="6"/>
  <c r="H13" i="6" s="1"/>
  <c r="Q13" i="6" s="1"/>
  <c r="Z13" i="6"/>
  <c r="G13" i="6" s="1"/>
  <c r="P13" i="6" s="1"/>
  <c r="O13" i="6"/>
  <c r="X13" i="6" s="1"/>
  <c r="N13" i="6"/>
  <c r="W13" i="6" s="1"/>
  <c r="M13" i="6"/>
  <c r="V13" i="6" s="1"/>
  <c r="L13" i="6"/>
  <c r="U13" i="6" s="1"/>
  <c r="K13" i="6"/>
  <c r="T13" i="6" s="1"/>
  <c r="AH11" i="6"/>
  <c r="AG11" i="6"/>
  <c r="N11" i="6" s="1"/>
  <c r="W11" i="6" s="1"/>
  <c r="AF11" i="6"/>
  <c r="M11" i="6" s="1"/>
  <c r="V11" i="6" s="1"/>
  <c r="AE11" i="6"/>
  <c r="L11" i="6" s="1"/>
  <c r="U11" i="6" s="1"/>
  <c r="AD11" i="6"/>
  <c r="K11" i="6" s="1"/>
  <c r="T11" i="6" s="1"/>
  <c r="AC11" i="6"/>
  <c r="J11" i="6" s="1"/>
  <c r="S11" i="6" s="1"/>
  <c r="AB11" i="6"/>
  <c r="I11" i="6" s="1"/>
  <c r="R11" i="6" s="1"/>
  <c r="AA11" i="6"/>
  <c r="H11" i="6" s="1"/>
  <c r="Q11" i="6" s="1"/>
  <c r="Z11" i="6"/>
  <c r="G11" i="6" s="1"/>
  <c r="P11" i="6" s="1"/>
  <c r="O11" i="6"/>
  <c r="X11" i="6" s="1"/>
  <c r="AH10" i="6"/>
  <c r="O10" i="6" s="1"/>
  <c r="X10" i="6" s="1"/>
  <c r="AG10" i="6"/>
  <c r="N10" i="6" s="1"/>
  <c r="W10" i="6" s="1"/>
  <c r="AF10" i="6"/>
  <c r="M10" i="6" s="1"/>
  <c r="V10" i="6" s="1"/>
  <c r="AE10" i="6"/>
  <c r="L10" i="6" s="1"/>
  <c r="U10" i="6" s="1"/>
  <c r="AD10" i="6"/>
  <c r="K10" i="6" s="1"/>
  <c r="T10" i="6" s="1"/>
  <c r="AC10" i="6"/>
  <c r="J10" i="6" s="1"/>
  <c r="S10" i="6" s="1"/>
  <c r="AB10" i="6"/>
  <c r="I10" i="6" s="1"/>
  <c r="R10" i="6" s="1"/>
  <c r="AA10" i="6"/>
  <c r="H10" i="6" s="1"/>
  <c r="Q10" i="6" s="1"/>
  <c r="Z10" i="6"/>
  <c r="G10" i="6" s="1"/>
  <c r="P10" i="6" s="1"/>
  <c r="AH9" i="6"/>
  <c r="O9" i="6" s="1"/>
  <c r="X9" i="6" s="1"/>
  <c r="AG9" i="6"/>
  <c r="N9" i="6" s="1"/>
  <c r="W9" i="6" s="1"/>
  <c r="AF9" i="6"/>
  <c r="M9" i="6" s="1"/>
  <c r="V9" i="6" s="1"/>
  <c r="AE9" i="6"/>
  <c r="L9" i="6" s="1"/>
  <c r="U9" i="6" s="1"/>
  <c r="AD9" i="6"/>
  <c r="K9" i="6" s="1"/>
  <c r="T9" i="6" s="1"/>
  <c r="AC9" i="6"/>
  <c r="J9" i="6" s="1"/>
  <c r="S9" i="6" s="1"/>
  <c r="AB9" i="6"/>
  <c r="I9" i="6" s="1"/>
  <c r="R9" i="6" s="1"/>
  <c r="AA9" i="6"/>
  <c r="Z9" i="6"/>
  <c r="H9" i="6"/>
  <c r="Q9" i="6" s="1"/>
  <c r="G9" i="6"/>
  <c r="P9" i="6" s="1"/>
  <c r="AH8" i="6"/>
  <c r="O8" i="6" s="1"/>
  <c r="X8" i="6" s="1"/>
  <c r="AG8" i="6"/>
  <c r="N8" i="6" s="1"/>
  <c r="W8" i="6" s="1"/>
  <c r="AF8" i="6"/>
  <c r="M8" i="6" s="1"/>
  <c r="V8" i="6" s="1"/>
  <c r="AE8" i="6"/>
  <c r="L8" i="6" s="1"/>
  <c r="U8" i="6" s="1"/>
  <c r="AD8" i="6"/>
  <c r="K8" i="6" s="1"/>
  <c r="T8" i="6" s="1"/>
  <c r="AC8" i="6"/>
  <c r="J8" i="6" s="1"/>
  <c r="S8" i="6" s="1"/>
  <c r="AB8" i="6"/>
  <c r="AA8" i="6"/>
  <c r="H8" i="6" s="1"/>
  <c r="Q8" i="6" s="1"/>
  <c r="Z8" i="6"/>
  <c r="G8" i="6" s="1"/>
  <c r="P8" i="6" s="1"/>
  <c r="I8" i="6"/>
  <c r="R8" i="6" s="1"/>
  <c r="H22" i="5"/>
  <c r="Q22" i="5" s="1"/>
  <c r="AA27" i="5"/>
  <c r="H27" i="5" s="1"/>
  <c r="Q27" i="5" s="1"/>
  <c r="AB27" i="5"/>
  <c r="I27" i="5" s="1"/>
  <c r="R27" i="5" s="1"/>
  <c r="AC27" i="5"/>
  <c r="J27" i="5" s="1"/>
  <c r="S27" i="5" s="1"/>
  <c r="AD27" i="5"/>
  <c r="K27" i="5" s="1"/>
  <c r="T27" i="5" s="1"/>
  <c r="AE27" i="5"/>
  <c r="L27" i="5" s="1"/>
  <c r="U27" i="5" s="1"/>
  <c r="AF27" i="5"/>
  <c r="M27" i="5" s="1"/>
  <c r="V27" i="5" s="1"/>
  <c r="AG27" i="5"/>
  <c r="N27" i="5" s="1"/>
  <c r="W27" i="5" s="1"/>
  <c r="AH27" i="5"/>
  <c r="O27" i="5" s="1"/>
  <c r="X27" i="5" s="1"/>
  <c r="Z27" i="5"/>
  <c r="G27" i="5" s="1"/>
  <c r="P27" i="5" s="1"/>
  <c r="AA22" i="5"/>
  <c r="AB22" i="5"/>
  <c r="I22" i="5" s="1"/>
  <c r="R22" i="5" s="1"/>
  <c r="AC22" i="5"/>
  <c r="J22" i="5" s="1"/>
  <c r="S22" i="5" s="1"/>
  <c r="AD22" i="5"/>
  <c r="K22" i="5" s="1"/>
  <c r="T22" i="5" s="1"/>
  <c r="AE22" i="5"/>
  <c r="L22" i="5" s="1"/>
  <c r="U22" i="5" s="1"/>
  <c r="AF22" i="5"/>
  <c r="M22" i="5" s="1"/>
  <c r="V22" i="5" s="1"/>
  <c r="AG22" i="5"/>
  <c r="N22" i="5" s="1"/>
  <c r="W22" i="5" s="1"/>
  <c r="AH22" i="5"/>
  <c r="O22" i="5" s="1"/>
  <c r="X22" i="5" s="1"/>
  <c r="Z22" i="5"/>
  <c r="G22" i="5" s="1"/>
  <c r="P22" i="5" s="1"/>
  <c r="Z21" i="5"/>
  <c r="G21" i="5" s="1"/>
  <c r="P21" i="5" s="1"/>
  <c r="AA28" i="5"/>
  <c r="H28" i="5" s="1"/>
  <c r="Q28" i="5" s="1"/>
  <c r="AB28" i="5"/>
  <c r="I28" i="5" s="1"/>
  <c r="R28" i="5" s="1"/>
  <c r="AC28" i="5"/>
  <c r="J28" i="5" s="1"/>
  <c r="S28" i="5" s="1"/>
  <c r="AD28" i="5"/>
  <c r="K28" i="5" s="1"/>
  <c r="T28" i="5" s="1"/>
  <c r="AE28" i="5"/>
  <c r="L28" i="5" s="1"/>
  <c r="U28" i="5" s="1"/>
  <c r="AF28" i="5"/>
  <c r="M28" i="5" s="1"/>
  <c r="V28" i="5" s="1"/>
  <c r="AG28" i="5"/>
  <c r="N28" i="5" s="1"/>
  <c r="W28" i="5" s="1"/>
  <c r="AH28" i="5"/>
  <c r="O28" i="5" s="1"/>
  <c r="X28" i="5" s="1"/>
  <c r="AA26" i="5"/>
  <c r="H26" i="5" s="1"/>
  <c r="Q26" i="5" s="1"/>
  <c r="AB26" i="5"/>
  <c r="I26" i="5" s="1"/>
  <c r="R26" i="5" s="1"/>
  <c r="AC26" i="5"/>
  <c r="J26" i="5" s="1"/>
  <c r="S26" i="5" s="1"/>
  <c r="AD26" i="5"/>
  <c r="K26" i="5" s="1"/>
  <c r="T26" i="5" s="1"/>
  <c r="AE26" i="5"/>
  <c r="L26" i="5" s="1"/>
  <c r="U26" i="5" s="1"/>
  <c r="AF26" i="5"/>
  <c r="M26" i="5" s="1"/>
  <c r="V26" i="5" s="1"/>
  <c r="AG26" i="5"/>
  <c r="N26" i="5" s="1"/>
  <c r="W26" i="5" s="1"/>
  <c r="AH26" i="5"/>
  <c r="O26" i="5" s="1"/>
  <c r="X26" i="5" s="1"/>
  <c r="AA24" i="5"/>
  <c r="H24" i="5" s="1"/>
  <c r="Q24" i="5" s="1"/>
  <c r="AB24" i="5"/>
  <c r="I24" i="5" s="1"/>
  <c r="R24" i="5" s="1"/>
  <c r="AC24" i="5"/>
  <c r="J24" i="5" s="1"/>
  <c r="S24" i="5" s="1"/>
  <c r="AD24" i="5"/>
  <c r="K24" i="5" s="1"/>
  <c r="T24" i="5" s="1"/>
  <c r="AE24" i="5"/>
  <c r="L24" i="5" s="1"/>
  <c r="U24" i="5" s="1"/>
  <c r="AF24" i="5"/>
  <c r="M24" i="5" s="1"/>
  <c r="V24" i="5" s="1"/>
  <c r="AG24" i="5"/>
  <c r="N24" i="5" s="1"/>
  <c r="W24" i="5" s="1"/>
  <c r="AH24" i="5"/>
  <c r="O24" i="5" s="1"/>
  <c r="X24" i="5" s="1"/>
  <c r="AA23" i="5"/>
  <c r="H23" i="5" s="1"/>
  <c r="Q23" i="5" s="1"/>
  <c r="AB23" i="5"/>
  <c r="I23" i="5" s="1"/>
  <c r="R23" i="5" s="1"/>
  <c r="AC23" i="5"/>
  <c r="J23" i="5" s="1"/>
  <c r="S23" i="5" s="1"/>
  <c r="AD23" i="5"/>
  <c r="K23" i="5" s="1"/>
  <c r="T23" i="5" s="1"/>
  <c r="AE23" i="5"/>
  <c r="L23" i="5" s="1"/>
  <c r="U23" i="5" s="1"/>
  <c r="AF23" i="5"/>
  <c r="M23" i="5" s="1"/>
  <c r="V23" i="5" s="1"/>
  <c r="AG23" i="5"/>
  <c r="N23" i="5" s="1"/>
  <c r="W23" i="5" s="1"/>
  <c r="AH23" i="5"/>
  <c r="O23" i="5" s="1"/>
  <c r="X23" i="5" s="1"/>
  <c r="AA21" i="5"/>
  <c r="H21" i="5" s="1"/>
  <c r="Q21" i="5" s="1"/>
  <c r="AB21" i="5"/>
  <c r="I21" i="5" s="1"/>
  <c r="R21" i="5" s="1"/>
  <c r="AC21" i="5"/>
  <c r="J21" i="5" s="1"/>
  <c r="S21" i="5" s="1"/>
  <c r="AD21" i="5"/>
  <c r="K21" i="5" s="1"/>
  <c r="T21" i="5" s="1"/>
  <c r="AE21" i="5"/>
  <c r="L21" i="5" s="1"/>
  <c r="U21" i="5" s="1"/>
  <c r="AF21" i="5"/>
  <c r="M21" i="5" s="1"/>
  <c r="V21" i="5" s="1"/>
  <c r="AG21" i="5"/>
  <c r="N21" i="5" s="1"/>
  <c r="W21" i="5" s="1"/>
  <c r="AH21" i="5"/>
  <c r="O21" i="5" s="1"/>
  <c r="X21" i="5" s="1"/>
  <c r="AA19" i="5"/>
  <c r="H19" i="5" s="1"/>
  <c r="Q19" i="5" s="1"/>
  <c r="AB19" i="5"/>
  <c r="I19" i="5" s="1"/>
  <c r="R19" i="5" s="1"/>
  <c r="AC19" i="5"/>
  <c r="J19" i="5" s="1"/>
  <c r="S19" i="5" s="1"/>
  <c r="AD19" i="5"/>
  <c r="K19" i="5" s="1"/>
  <c r="T19" i="5" s="1"/>
  <c r="AE19" i="5"/>
  <c r="L19" i="5" s="1"/>
  <c r="U19" i="5" s="1"/>
  <c r="AF19" i="5"/>
  <c r="M19" i="5" s="1"/>
  <c r="V19" i="5" s="1"/>
  <c r="AG19" i="5"/>
  <c r="N19" i="5" s="1"/>
  <c r="W19" i="5" s="1"/>
  <c r="AH19" i="5"/>
  <c r="O19" i="5" s="1"/>
  <c r="X19" i="5" s="1"/>
  <c r="AA18" i="5"/>
  <c r="H18" i="5" s="1"/>
  <c r="Q18" i="5" s="1"/>
  <c r="AB18" i="5"/>
  <c r="I18" i="5" s="1"/>
  <c r="R18" i="5" s="1"/>
  <c r="AC18" i="5"/>
  <c r="J18" i="5" s="1"/>
  <c r="S18" i="5" s="1"/>
  <c r="AD18" i="5"/>
  <c r="K18" i="5" s="1"/>
  <c r="T18" i="5" s="1"/>
  <c r="AE18" i="5"/>
  <c r="L18" i="5" s="1"/>
  <c r="U18" i="5" s="1"/>
  <c r="AF18" i="5"/>
  <c r="M18" i="5" s="1"/>
  <c r="V18" i="5" s="1"/>
  <c r="AG18" i="5"/>
  <c r="N18" i="5" s="1"/>
  <c r="W18" i="5" s="1"/>
  <c r="AH18" i="5"/>
  <c r="O18" i="5" s="1"/>
  <c r="X18" i="5" s="1"/>
  <c r="AA17" i="5"/>
  <c r="H17" i="5" s="1"/>
  <c r="Q17" i="5" s="1"/>
  <c r="AB17" i="5"/>
  <c r="I17" i="5" s="1"/>
  <c r="R17" i="5" s="1"/>
  <c r="AC17" i="5"/>
  <c r="J17" i="5" s="1"/>
  <c r="S17" i="5" s="1"/>
  <c r="AD17" i="5"/>
  <c r="K17" i="5" s="1"/>
  <c r="T17" i="5" s="1"/>
  <c r="AE17" i="5"/>
  <c r="L17" i="5" s="1"/>
  <c r="U17" i="5" s="1"/>
  <c r="AF17" i="5"/>
  <c r="M17" i="5" s="1"/>
  <c r="V17" i="5" s="1"/>
  <c r="AG17" i="5"/>
  <c r="N17" i="5" s="1"/>
  <c r="W17" i="5" s="1"/>
  <c r="AH17" i="5"/>
  <c r="O17" i="5" s="1"/>
  <c r="X17" i="5" s="1"/>
  <c r="AA16" i="5"/>
  <c r="H16" i="5" s="1"/>
  <c r="Q16" i="5" s="1"/>
  <c r="AB16" i="5"/>
  <c r="I16" i="5" s="1"/>
  <c r="R16" i="5" s="1"/>
  <c r="AC16" i="5"/>
  <c r="J16" i="5" s="1"/>
  <c r="S16" i="5" s="1"/>
  <c r="AD16" i="5"/>
  <c r="K16" i="5" s="1"/>
  <c r="T16" i="5" s="1"/>
  <c r="AE16" i="5"/>
  <c r="L16" i="5" s="1"/>
  <c r="U16" i="5" s="1"/>
  <c r="AF16" i="5"/>
  <c r="M16" i="5" s="1"/>
  <c r="V16" i="5" s="1"/>
  <c r="AG16" i="5"/>
  <c r="N16" i="5" s="1"/>
  <c r="W16" i="5" s="1"/>
  <c r="AH16" i="5"/>
  <c r="O16" i="5" s="1"/>
  <c r="X16" i="5" s="1"/>
  <c r="AA15" i="5"/>
  <c r="H15" i="5" s="1"/>
  <c r="Q15" i="5" s="1"/>
  <c r="AB15" i="5"/>
  <c r="I15" i="5" s="1"/>
  <c r="R15" i="5" s="1"/>
  <c r="AC15" i="5"/>
  <c r="J15" i="5" s="1"/>
  <c r="S15" i="5" s="1"/>
  <c r="AD15" i="5"/>
  <c r="K15" i="5" s="1"/>
  <c r="T15" i="5" s="1"/>
  <c r="AE15" i="5"/>
  <c r="L15" i="5" s="1"/>
  <c r="U15" i="5" s="1"/>
  <c r="AF15" i="5"/>
  <c r="M15" i="5" s="1"/>
  <c r="V15" i="5" s="1"/>
  <c r="AG15" i="5"/>
  <c r="N15" i="5" s="1"/>
  <c r="W15" i="5" s="1"/>
  <c r="AH15" i="5"/>
  <c r="O15" i="5" s="1"/>
  <c r="X15" i="5" s="1"/>
  <c r="AA14" i="5"/>
  <c r="H14" i="5" s="1"/>
  <c r="Q14" i="5" s="1"/>
  <c r="AB14" i="5"/>
  <c r="I14" i="5" s="1"/>
  <c r="R14" i="5" s="1"/>
  <c r="AC14" i="5"/>
  <c r="J14" i="5" s="1"/>
  <c r="S14" i="5" s="1"/>
  <c r="AD14" i="5"/>
  <c r="K14" i="5" s="1"/>
  <c r="T14" i="5" s="1"/>
  <c r="AE14" i="5"/>
  <c r="L14" i="5" s="1"/>
  <c r="U14" i="5" s="1"/>
  <c r="AF14" i="5"/>
  <c r="M14" i="5" s="1"/>
  <c r="V14" i="5" s="1"/>
  <c r="AG14" i="5"/>
  <c r="N14" i="5" s="1"/>
  <c r="W14" i="5" s="1"/>
  <c r="AH14" i="5"/>
  <c r="O14" i="5" s="1"/>
  <c r="X14" i="5" s="1"/>
  <c r="AA13" i="5"/>
  <c r="H13" i="5" s="1"/>
  <c r="Q13" i="5" s="1"/>
  <c r="AB13" i="5"/>
  <c r="I13" i="5" s="1"/>
  <c r="R13" i="5" s="1"/>
  <c r="AC13" i="5"/>
  <c r="J13" i="5" s="1"/>
  <c r="S13" i="5" s="1"/>
  <c r="AD13" i="5"/>
  <c r="K13" i="5" s="1"/>
  <c r="T13" i="5" s="1"/>
  <c r="AE13" i="5"/>
  <c r="L13" i="5" s="1"/>
  <c r="U13" i="5" s="1"/>
  <c r="AF13" i="5"/>
  <c r="M13" i="5" s="1"/>
  <c r="V13" i="5" s="1"/>
  <c r="AG13" i="5"/>
  <c r="N13" i="5" s="1"/>
  <c r="W13" i="5" s="1"/>
  <c r="AH13" i="5"/>
  <c r="O13" i="5" s="1"/>
  <c r="X13" i="5" s="1"/>
  <c r="AA11" i="5"/>
  <c r="H11" i="5" s="1"/>
  <c r="Q11" i="5" s="1"/>
  <c r="AB11" i="5"/>
  <c r="I11" i="5" s="1"/>
  <c r="R11" i="5" s="1"/>
  <c r="AC11" i="5"/>
  <c r="J11" i="5" s="1"/>
  <c r="S11" i="5" s="1"/>
  <c r="AD11" i="5"/>
  <c r="K11" i="5" s="1"/>
  <c r="T11" i="5" s="1"/>
  <c r="AE11" i="5"/>
  <c r="L11" i="5" s="1"/>
  <c r="U11" i="5" s="1"/>
  <c r="AF11" i="5"/>
  <c r="M11" i="5" s="1"/>
  <c r="V11" i="5" s="1"/>
  <c r="AG11" i="5"/>
  <c r="N11" i="5" s="1"/>
  <c r="W11" i="5" s="1"/>
  <c r="AH11" i="5"/>
  <c r="O11" i="5" s="1"/>
  <c r="X11" i="5" s="1"/>
  <c r="AA10" i="5"/>
  <c r="H10" i="5" s="1"/>
  <c r="Q10" i="5" s="1"/>
  <c r="AB10" i="5"/>
  <c r="I10" i="5" s="1"/>
  <c r="R10" i="5" s="1"/>
  <c r="AC10" i="5"/>
  <c r="J10" i="5" s="1"/>
  <c r="S10" i="5" s="1"/>
  <c r="AD10" i="5"/>
  <c r="K10" i="5" s="1"/>
  <c r="T10" i="5" s="1"/>
  <c r="AE10" i="5"/>
  <c r="L10" i="5" s="1"/>
  <c r="U10" i="5" s="1"/>
  <c r="AF10" i="5"/>
  <c r="M10" i="5" s="1"/>
  <c r="V10" i="5" s="1"/>
  <c r="AG10" i="5"/>
  <c r="N10" i="5" s="1"/>
  <c r="W10" i="5" s="1"/>
  <c r="AH10" i="5"/>
  <c r="O10" i="5" s="1"/>
  <c r="X10" i="5" s="1"/>
  <c r="AA9" i="5"/>
  <c r="H9" i="5" s="1"/>
  <c r="Q9" i="5" s="1"/>
  <c r="AB9" i="5"/>
  <c r="I9" i="5" s="1"/>
  <c r="R9" i="5" s="1"/>
  <c r="AC9" i="5"/>
  <c r="J9" i="5" s="1"/>
  <c r="S9" i="5" s="1"/>
  <c r="AD9" i="5"/>
  <c r="K9" i="5" s="1"/>
  <c r="T9" i="5" s="1"/>
  <c r="AE9" i="5"/>
  <c r="L9" i="5" s="1"/>
  <c r="U9" i="5" s="1"/>
  <c r="AF9" i="5"/>
  <c r="M9" i="5" s="1"/>
  <c r="V9" i="5" s="1"/>
  <c r="AG9" i="5"/>
  <c r="N9" i="5" s="1"/>
  <c r="W9" i="5" s="1"/>
  <c r="AH9" i="5"/>
  <c r="O9" i="5" s="1"/>
  <c r="X9" i="5" s="1"/>
  <c r="Z28" i="5"/>
  <c r="G28" i="5" s="1"/>
  <c r="P28" i="5" s="1"/>
  <c r="Z26" i="5"/>
  <c r="G26" i="5" s="1"/>
  <c r="P26" i="5" s="1"/>
  <c r="Z24" i="5"/>
  <c r="G24" i="5" s="1"/>
  <c r="P24" i="5" s="1"/>
  <c r="Z23" i="5"/>
  <c r="G23" i="5" s="1"/>
  <c r="P23" i="5" s="1"/>
  <c r="Z19" i="5"/>
  <c r="G19" i="5" s="1"/>
  <c r="P19" i="5" s="1"/>
  <c r="Z18" i="5"/>
  <c r="G18" i="5" s="1"/>
  <c r="P18" i="5" s="1"/>
  <c r="Z17" i="5"/>
  <c r="G17" i="5" s="1"/>
  <c r="P17" i="5" s="1"/>
  <c r="Z16" i="5"/>
  <c r="G16" i="5" s="1"/>
  <c r="P16" i="5" s="1"/>
  <c r="Z15" i="5"/>
  <c r="G15" i="5" s="1"/>
  <c r="P15" i="5" s="1"/>
  <c r="Z14" i="5"/>
  <c r="G14" i="5" s="1"/>
  <c r="P14" i="5" s="1"/>
  <c r="Z13" i="5"/>
  <c r="G13" i="5" s="1"/>
  <c r="P13" i="5" s="1"/>
  <c r="Z11" i="5"/>
  <c r="G11" i="5" s="1"/>
  <c r="P11" i="5" s="1"/>
  <c r="Z10" i="5"/>
  <c r="G10" i="5" s="1"/>
  <c r="P10" i="5" s="1"/>
  <c r="AA8" i="5"/>
  <c r="H8" i="5" s="1"/>
  <c r="Q8" i="5" s="1"/>
  <c r="AB8" i="5"/>
  <c r="I8" i="5" s="1"/>
  <c r="R8" i="5" s="1"/>
  <c r="AC8" i="5"/>
  <c r="J8" i="5" s="1"/>
  <c r="S8" i="5" s="1"/>
  <c r="AD8" i="5"/>
  <c r="K8" i="5" s="1"/>
  <c r="T8" i="5" s="1"/>
  <c r="AE8" i="5"/>
  <c r="L8" i="5" s="1"/>
  <c r="U8" i="5" s="1"/>
  <c r="AF8" i="5"/>
  <c r="M8" i="5" s="1"/>
  <c r="V8" i="5" s="1"/>
  <c r="AG8" i="5"/>
  <c r="N8" i="5" s="1"/>
  <c r="W8" i="5" s="1"/>
  <c r="AH8" i="5"/>
  <c r="O8" i="5" s="1"/>
  <c r="X8" i="5" s="1"/>
  <c r="Z9" i="5"/>
  <c r="G9" i="5" s="1"/>
  <c r="P9" i="5" s="1"/>
  <c r="Z8" i="5"/>
  <c r="AA85" i="1"/>
  <c r="AB85" i="1"/>
  <c r="AC85" i="1"/>
  <c r="AA84" i="1"/>
  <c r="AB84" i="1"/>
  <c r="AC84" i="1"/>
  <c r="AA81" i="1"/>
  <c r="AB81" i="1"/>
  <c r="AC81" i="1"/>
  <c r="AA80" i="1"/>
  <c r="AB80" i="1"/>
  <c r="AC80" i="1"/>
  <c r="AA77" i="1"/>
  <c r="AB77" i="1"/>
  <c r="AC77" i="1"/>
  <c r="AA76" i="1"/>
  <c r="AB76" i="1"/>
  <c r="AC76" i="1"/>
  <c r="AA73" i="1"/>
  <c r="AB73" i="1"/>
  <c r="AC73" i="1"/>
  <c r="AA72" i="1"/>
  <c r="AB72" i="1"/>
  <c r="AC72" i="1"/>
  <c r="AA69" i="1"/>
  <c r="AB69" i="1"/>
  <c r="AC69" i="1"/>
  <c r="AA68" i="1"/>
  <c r="AB68" i="1"/>
  <c r="AC68" i="1"/>
  <c r="AA65" i="1"/>
  <c r="AB65" i="1"/>
  <c r="AC65" i="1"/>
  <c r="AA64" i="1"/>
  <c r="AB64" i="1"/>
  <c r="AC64" i="1"/>
  <c r="AA61" i="1"/>
  <c r="AB61" i="1"/>
  <c r="AC61" i="1"/>
  <c r="AA60" i="1"/>
  <c r="AB60" i="1"/>
  <c r="AC60" i="1"/>
  <c r="AA57" i="1"/>
  <c r="AB57" i="1"/>
  <c r="AC57" i="1"/>
  <c r="AA56" i="1"/>
  <c r="AB56" i="1"/>
  <c r="AC56" i="1"/>
  <c r="AA53" i="1"/>
  <c r="AB53" i="1"/>
  <c r="AC53" i="1"/>
  <c r="AA52" i="1"/>
  <c r="AB52" i="1"/>
  <c r="AC52" i="1"/>
  <c r="AA49" i="1"/>
  <c r="AB49" i="1"/>
  <c r="AC49" i="1"/>
  <c r="AA48" i="1"/>
  <c r="AB48" i="1"/>
  <c r="AC48" i="1"/>
  <c r="AA45" i="1"/>
  <c r="AB45" i="1"/>
  <c r="AC45" i="1"/>
  <c r="AA44" i="1"/>
  <c r="AB44" i="1"/>
  <c r="AC44" i="1"/>
  <c r="AA41" i="1"/>
  <c r="AB41" i="1"/>
  <c r="AC41" i="1"/>
  <c r="AA40" i="1"/>
  <c r="AB40" i="1"/>
  <c r="AC40" i="1"/>
  <c r="AA37" i="1"/>
  <c r="AB37" i="1"/>
  <c r="AC37" i="1"/>
  <c r="AA36" i="1"/>
  <c r="AB36" i="1"/>
  <c r="AC36" i="1"/>
  <c r="AA33" i="1"/>
  <c r="AB33" i="1"/>
  <c r="AC33" i="1"/>
  <c r="AA32" i="1"/>
  <c r="AB32" i="1"/>
  <c r="AC32" i="1"/>
  <c r="AA29" i="1"/>
  <c r="AB29" i="1"/>
  <c r="AC29" i="1"/>
  <c r="AA28" i="1"/>
  <c r="AB28" i="1"/>
  <c r="AC28" i="1"/>
  <c r="AA25" i="1"/>
  <c r="AB25" i="1"/>
  <c r="AC25" i="1"/>
  <c r="AA24" i="1"/>
  <c r="AB24" i="1"/>
  <c r="AC24" i="1"/>
  <c r="AA21" i="1"/>
  <c r="AB21" i="1"/>
  <c r="AC21" i="1"/>
  <c r="AA20" i="1"/>
  <c r="AB20" i="1"/>
  <c r="AC20" i="1"/>
  <c r="AA17" i="1"/>
  <c r="AB17" i="1"/>
  <c r="AC17" i="1"/>
  <c r="AA16" i="1"/>
  <c r="AB16" i="1"/>
  <c r="AC16" i="1"/>
  <c r="AA13" i="1"/>
  <c r="AB13" i="1"/>
  <c r="AC13" i="1"/>
  <c r="AA12" i="1"/>
  <c r="AB12" i="1"/>
  <c r="AC12" i="1"/>
  <c r="AA9" i="1"/>
  <c r="AB9" i="1"/>
  <c r="AC9" i="1"/>
  <c r="AA8" i="1"/>
  <c r="AB8" i="1"/>
  <c r="AC8" i="1"/>
  <c r="AA5" i="1"/>
  <c r="AB5" i="1"/>
  <c r="AC5" i="1"/>
  <c r="AA4" i="1"/>
  <c r="AB4" i="1"/>
  <c r="AC4" i="1"/>
  <c r="G8" i="5" l="1"/>
  <c r="P8" i="5" s="1"/>
</calcChain>
</file>

<file path=xl/sharedStrings.xml><?xml version="1.0" encoding="utf-8"?>
<sst xmlns="http://schemas.openxmlformats.org/spreadsheetml/2006/main" count="1736" uniqueCount="301">
  <si>
    <t>Area</t>
  </si>
  <si>
    <t>Food</t>
  </si>
  <si>
    <t>Unit</t>
  </si>
  <si>
    <t>Kcal</t>
  </si>
  <si>
    <t>Carbs(g)</t>
  </si>
  <si>
    <t>Protein (g)</t>
  </si>
  <si>
    <t>Fat (g)</t>
  </si>
  <si>
    <t>Mexico</t>
  </si>
  <si>
    <t>Central America</t>
  </si>
  <si>
    <t>ASEAN</t>
  </si>
  <si>
    <t>East Africa</t>
  </si>
  <si>
    <t>Carrot</t>
  </si>
  <si>
    <t>banana</t>
  </si>
  <si>
    <t>corn</t>
  </si>
  <si>
    <t>bread</t>
  </si>
  <si>
    <t>chicken</t>
  </si>
  <si>
    <t>pork</t>
  </si>
  <si>
    <t>beef</t>
  </si>
  <si>
    <t>sheepgoat</t>
  </si>
  <si>
    <t>fish</t>
  </si>
  <si>
    <t>egg</t>
  </si>
  <si>
    <t>milk</t>
  </si>
  <si>
    <t>cookies</t>
  </si>
  <si>
    <t>rice</t>
  </si>
  <si>
    <t>beans</t>
  </si>
  <si>
    <t>onion</t>
  </si>
  <si>
    <t>coffee</t>
  </si>
  <si>
    <t>alcohol</t>
  </si>
  <si>
    <t>sugar</t>
  </si>
  <si>
    <t>oil</t>
  </si>
  <si>
    <t>Vit C (mg)</t>
  </si>
  <si>
    <t>https://inmu.mahidol.ac.th/aseanfoods/doc/OnlineASEAN_FCD_V1_2014.pdf</t>
  </si>
  <si>
    <t>https://www.fao.org/4/X6877E/X6877E00.htm</t>
  </si>
  <si>
    <t>https://www.sennutricion.org/media/tablas/INCAP.pdf</t>
  </si>
  <si>
    <t>https://www.incmnsz.mx/2019/TABLAS_ALIMENTOS.pdf</t>
  </si>
  <si>
    <t>Vegetables and products</t>
  </si>
  <si>
    <t>Fiber (g)</t>
  </si>
  <si>
    <t>Ash (g)</t>
  </si>
  <si>
    <t>ID</t>
  </si>
  <si>
    <t>AAD128</t>
  </si>
  <si>
    <t>AAB10</t>
  </si>
  <si>
    <t>Calcium (mg)</t>
  </si>
  <si>
    <t>Iron (mg)</t>
  </si>
  <si>
    <t>tomato</t>
  </si>
  <si>
    <t>potato</t>
  </si>
  <si>
    <t>carrot</t>
  </si>
  <si>
    <t>AAD28</t>
  </si>
  <si>
    <t>AAE10</t>
  </si>
  <si>
    <t>Fruits and Products</t>
  </si>
  <si>
    <t>AAA19</t>
  </si>
  <si>
    <t>AAF99</t>
  </si>
  <si>
    <t>Meat, other animals and products</t>
  </si>
  <si>
    <t>breast, w/ skin, raw</t>
  </si>
  <si>
    <t>AAF2</t>
  </si>
  <si>
    <t>Beef, meat ball</t>
  </si>
  <si>
    <t>AAH12</t>
  </si>
  <si>
    <t>AAJ12</t>
  </si>
  <si>
    <t>AAA65</t>
  </si>
  <si>
    <t>white, polished, raw</t>
  </si>
  <si>
    <t>Onion, spring, fresh, raw</t>
  </si>
  <si>
    <t>AAD96</t>
  </si>
  <si>
    <t>Beverages, alcoholic</t>
  </si>
  <si>
    <t>AAQ9</t>
  </si>
  <si>
    <t>Coffee, iced, per 100 ml</t>
  </si>
  <si>
    <t>Beer, pale pilsen</t>
  </si>
  <si>
    <t>AAP1</t>
  </si>
  <si>
    <t>Coconut cream</t>
  </si>
  <si>
    <t>AAK3</t>
  </si>
  <si>
    <t>Fats and oils</t>
  </si>
  <si>
    <t>per 100g edible portion</t>
  </si>
  <si>
    <t>whole milk</t>
  </si>
  <si>
    <t>Cookies, Vanilla Wafers/lower fat</t>
  </si>
  <si>
    <t>instant, regular, powder</t>
  </si>
  <si>
    <t>Butter wo/salt</t>
  </si>
  <si>
    <t>milled grain in bulk</t>
  </si>
  <si>
    <t>Description</t>
  </si>
  <si>
    <t>Beer, Bottled</t>
  </si>
  <si>
    <t>Beer, light</t>
  </si>
  <si>
    <t>Beer made from: Strained (2.1% alcohol by weight).</t>
  </si>
  <si>
    <t>banana, maute raw</t>
  </si>
  <si>
    <t>banana, common, ripe</t>
  </si>
  <si>
    <t xml:space="preserve">Soybeans, mature seeds raw </t>
  </si>
  <si>
    <t>AAC87</t>
  </si>
  <si>
    <t>Soybean, seed, yellow, dried, raw</t>
  </si>
  <si>
    <t>Soybean (Glycine max; G. hispida; G. soja), whole mature seeds</t>
  </si>
  <si>
    <t>Beef, full cut, lean&amp;fat 1/8" Raw</t>
  </si>
  <si>
    <t>Bovines, beef</t>
  </si>
  <si>
    <t>Beef, zebu, medium fat</t>
  </si>
  <si>
    <t>Wheat, sliced enriched bread</t>
  </si>
  <si>
    <t>White Bread</t>
  </si>
  <si>
    <t>Carrots, w/skin, raw</t>
  </si>
  <si>
    <t>Carrot, raw</t>
  </si>
  <si>
    <t>Chicken, Breast Meat &amp; Skin, Raw</t>
  </si>
  <si>
    <t>Poultry, Chicken breast with skin</t>
  </si>
  <si>
    <t>Young bird</t>
  </si>
  <si>
    <t>Coffee, soluble</t>
  </si>
  <si>
    <t>Coffee Infusion</t>
  </si>
  <si>
    <t>Biscuts, made from wheat from the UAR</t>
  </si>
  <si>
    <t>Wheat, cookie</t>
  </si>
  <si>
    <t>corn, yellow grain</t>
  </si>
  <si>
    <t>Corn, whole-kernel raw</t>
  </si>
  <si>
    <t>Whole kernel, dried, yellow</t>
  </si>
  <si>
    <t>Egg, hen raw, whole, white</t>
  </si>
  <si>
    <t>Egg, whole raw, fresh</t>
  </si>
  <si>
    <t>egg hen whole</t>
  </si>
  <si>
    <t>hen egg: raw</t>
  </si>
  <si>
    <t>Catfish, raw</t>
  </si>
  <si>
    <t>AAG22</t>
  </si>
  <si>
    <t>milk, cow's whole</t>
  </si>
  <si>
    <t>milk, cow, fluid, whole</t>
  </si>
  <si>
    <t>butter: cow milk</t>
  </si>
  <si>
    <t>Onions, Bulb &amp; Tops Raw</t>
  </si>
  <si>
    <t>Onion, common garden mature bulbs, raw</t>
  </si>
  <si>
    <t>Pork, lion</t>
  </si>
  <si>
    <t>Pork, Fresh, Lean&amp;Fat, Raw</t>
  </si>
  <si>
    <t>AAF204</t>
  </si>
  <si>
    <t>Pork, tenderloin, raw</t>
  </si>
  <si>
    <t>Pork: Medium Fat</t>
  </si>
  <si>
    <t>potato fresh raw</t>
  </si>
  <si>
    <t>potato w/skin raw</t>
  </si>
  <si>
    <t>potatos raw</t>
  </si>
  <si>
    <t>Rice White Medium grain unenriched raw</t>
  </si>
  <si>
    <t>Rice, red, native, milled</t>
  </si>
  <si>
    <t>goat, leg</t>
  </si>
  <si>
    <t>goat meat, raw</t>
  </si>
  <si>
    <t>Tomato, raw</t>
  </si>
  <si>
    <t>Tomato, without seed and peeled</t>
  </si>
  <si>
    <t>Tomato red</t>
  </si>
  <si>
    <t>Tomato, ripe whole</t>
  </si>
  <si>
    <t>Study</t>
  </si>
  <si>
    <t>Pal</t>
  </si>
  <si>
    <t>Staples (coarse &amp; fine)</t>
  </si>
  <si>
    <t>oats</t>
  </si>
  <si>
    <t>white bread</t>
  </si>
  <si>
    <t>sweet bread</t>
  </si>
  <si>
    <t>box bread</t>
  </si>
  <si>
    <t>source</t>
  </si>
  <si>
    <t>description</t>
  </si>
  <si>
    <t>Progresa</t>
  </si>
  <si>
    <t>Nicaragua</t>
  </si>
  <si>
    <t>grained corn</t>
  </si>
  <si>
    <t>Uganda</t>
  </si>
  <si>
    <t>Philippines</t>
  </si>
  <si>
    <t>biscuits</t>
  </si>
  <si>
    <t>flour</t>
  </si>
  <si>
    <t>sorghum</t>
  </si>
  <si>
    <t>millet</t>
  </si>
  <si>
    <t>Oats, flake</t>
  </si>
  <si>
    <t>Oats non fortified, raw</t>
  </si>
  <si>
    <t>wheat sweet bread traditional conchita</t>
  </si>
  <si>
    <t>Bread wheat, sweet (Nicaragua)</t>
  </si>
  <si>
    <t>sweet corn on the co, yellow raw</t>
  </si>
  <si>
    <t>Maize; corn, immature ears raw</t>
  </si>
  <si>
    <t>AAA74</t>
  </si>
  <si>
    <t>Wheat, flour, all purpose</t>
  </si>
  <si>
    <t>Sorghum, white</t>
  </si>
  <si>
    <t>Ragimillet; unspecified</t>
  </si>
  <si>
    <t>Tubers</t>
  </si>
  <si>
    <t>yucca</t>
  </si>
  <si>
    <t>cassava</t>
  </si>
  <si>
    <t>sweet potato</t>
  </si>
  <si>
    <t>dried cassava</t>
  </si>
  <si>
    <t>yucca bulbstem, flowers raw</t>
  </si>
  <si>
    <t>Sweetpotato, purple, fresh, raw</t>
  </si>
  <si>
    <t>AAB14</t>
  </si>
  <si>
    <t>sweet potato raw yellow variety</t>
  </si>
  <si>
    <t>AAB6</t>
  </si>
  <si>
    <t>Cassava, tuber, fresh, raw</t>
  </si>
  <si>
    <t>(Canna bidentata), tuber, edible Cassava, common, bitter, raw</t>
  </si>
  <si>
    <t>(Canna bidentata), tuber, edible Cassava, common, bitter, dried</t>
  </si>
  <si>
    <t>Protein</t>
  </si>
  <si>
    <t>sheep</t>
  </si>
  <si>
    <t>goat</t>
  </si>
  <si>
    <t>sardines</t>
  </si>
  <si>
    <t>tuna</t>
  </si>
  <si>
    <t>eggs</t>
  </si>
  <si>
    <t>sausages</t>
  </si>
  <si>
    <t>yogurt</t>
  </si>
  <si>
    <t>powdered milk</t>
  </si>
  <si>
    <t>bones</t>
  </si>
  <si>
    <t>shrimp</t>
  </si>
  <si>
    <t>friedfish</t>
  </si>
  <si>
    <t>meat</t>
  </si>
  <si>
    <t>corned beef</t>
  </si>
  <si>
    <t>other red meat</t>
  </si>
  <si>
    <t>blood</t>
  </si>
  <si>
    <t>white meat</t>
  </si>
  <si>
    <t>Stew, sheep barbacoa</t>
  </si>
  <si>
    <t>Sardine, whole, raw</t>
  </si>
  <si>
    <t>Pork, spicy pork sausage for frying</t>
  </si>
  <si>
    <t>Sausage Chorizo, pork</t>
  </si>
  <si>
    <t>Tuna, in water</t>
  </si>
  <si>
    <t>Tuna, canned in water, drained solids</t>
  </si>
  <si>
    <t>milk, smoothies(strawberry-flavored with yogurt)</t>
  </si>
  <si>
    <t>Milk, cow's, powdered, skim</t>
  </si>
  <si>
    <t>Milk, Dry, Whole</t>
  </si>
  <si>
    <t>Skim (nonfat milk solids)</t>
  </si>
  <si>
    <t>Shrimp, fresh, raw</t>
  </si>
  <si>
    <t>Fish, Catfish, cooked, breaded&amp;Fried</t>
  </si>
  <si>
    <t>Vegetables &amp; Fruits</t>
  </si>
  <si>
    <t>leafy vegetables</t>
  </si>
  <si>
    <t>cactus</t>
  </si>
  <si>
    <t>squash</t>
  </si>
  <si>
    <t>chayote</t>
  </si>
  <si>
    <t>guayaba</t>
  </si>
  <si>
    <t>mandarin</t>
  </si>
  <si>
    <t>papaya</t>
  </si>
  <si>
    <t>orange</t>
  </si>
  <si>
    <t>apple</t>
  </si>
  <si>
    <t>lemon</t>
  </si>
  <si>
    <t>watermelon</t>
  </si>
  <si>
    <t>progresa</t>
  </si>
  <si>
    <t>pepper</t>
  </si>
  <si>
    <t>salad</t>
  </si>
  <si>
    <t>cucumber</t>
  </si>
  <si>
    <t>avocado</t>
  </si>
  <si>
    <t>citrus fruits</t>
  </si>
  <si>
    <t>tropical fruits</t>
  </si>
  <si>
    <t>other fruits</t>
  </si>
  <si>
    <t>fresh fruits</t>
  </si>
  <si>
    <t>coconut</t>
  </si>
  <si>
    <t>orange color vegetables</t>
  </si>
  <si>
    <t>leafy greens</t>
  </si>
  <si>
    <t>other vegetables</t>
  </si>
  <si>
    <t>orange fruits</t>
  </si>
  <si>
    <t>Apple</t>
  </si>
  <si>
    <t>Avocado, American: alligator pear, raw</t>
  </si>
  <si>
    <t>Avocado, raw</t>
  </si>
  <si>
    <t>Cactus</t>
  </si>
  <si>
    <t>Chayote</t>
  </si>
  <si>
    <t>AAK6</t>
  </si>
  <si>
    <t>Coconut, mature kernel</t>
  </si>
  <si>
    <t>Cucumber, raw</t>
  </si>
  <si>
    <t>Guava</t>
  </si>
  <si>
    <t>Lemon</t>
  </si>
  <si>
    <t>tangerine</t>
  </si>
  <si>
    <t>Papaya</t>
  </si>
  <si>
    <t>Peppers, sweet, red fresh raw</t>
  </si>
  <si>
    <t>Squash</t>
  </si>
  <si>
    <t>Spinach</t>
  </si>
  <si>
    <t>Spinach, raw</t>
  </si>
  <si>
    <t>spinach raw</t>
  </si>
  <si>
    <t>Pork, loin</t>
  </si>
  <si>
    <t>Tables of Composition of Food and Food Products</t>
  </si>
  <si>
    <t>Tabla de Composicion de Alimentos de Centroamerica</t>
  </si>
  <si>
    <t>ASEAN Food Composition Database</t>
  </si>
  <si>
    <t>Food Composition Table  for Use in Africa</t>
  </si>
  <si>
    <t>Table A1 Category</t>
  </si>
  <si>
    <t>Cereals</t>
  </si>
  <si>
    <t>INFOODs database Categories</t>
  </si>
  <si>
    <t>Roots, Tubers, Plantains</t>
  </si>
  <si>
    <t>Meat</t>
  </si>
  <si>
    <t>Eggs</t>
  </si>
  <si>
    <t>Fish and Shelfish</t>
  </si>
  <si>
    <t>Milk and Milk Products</t>
  </si>
  <si>
    <t>Fruit and their products</t>
  </si>
  <si>
    <t>Vegetables and their Products</t>
  </si>
  <si>
    <t>Pal/Progresa</t>
  </si>
  <si>
    <t>Legumes and their products</t>
  </si>
  <si>
    <t>Beverages</t>
  </si>
  <si>
    <t>Sweets and Sugars</t>
  </si>
  <si>
    <t>Source</t>
  </si>
  <si>
    <t>AAD120</t>
  </si>
  <si>
    <t>Spinach, amaranth, spine, raw</t>
  </si>
  <si>
    <t>AAA38</t>
  </si>
  <si>
    <t>Soybean, seed</t>
  </si>
  <si>
    <t>Onion Spring</t>
  </si>
  <si>
    <t>corn, oil</t>
  </si>
  <si>
    <t>Table A2</t>
  </si>
  <si>
    <t>Food Item</t>
  </si>
  <si>
    <t>Elasticity</t>
  </si>
  <si>
    <t>Kg</t>
  </si>
  <si>
    <t>Calories</t>
  </si>
  <si>
    <t>Carbs (g)</t>
  </si>
  <si>
    <t>Weekly Consumption in Control Households</t>
  </si>
  <si>
    <t>Impact of Conditional Cash Transfer:</t>
  </si>
  <si>
    <t>Corn</t>
  </si>
  <si>
    <t>Rice</t>
  </si>
  <si>
    <t>Bread</t>
  </si>
  <si>
    <t>Potato</t>
  </si>
  <si>
    <t>Staples</t>
  </si>
  <si>
    <t>Chicken</t>
  </si>
  <si>
    <t>Pork</t>
  </si>
  <si>
    <t>Beef</t>
  </si>
  <si>
    <t>Fish</t>
  </si>
  <si>
    <t>Milk</t>
  </si>
  <si>
    <t>Beans</t>
  </si>
  <si>
    <t>Tomato</t>
  </si>
  <si>
    <t>Leafy Greens</t>
  </si>
  <si>
    <t>Onion</t>
  </si>
  <si>
    <t>Banana</t>
  </si>
  <si>
    <t>Other</t>
  </si>
  <si>
    <t>Cookies</t>
  </si>
  <si>
    <t>Sugar</t>
  </si>
  <si>
    <t>Oil</t>
  </si>
  <si>
    <t>NA</t>
  </si>
  <si>
    <t>Sugar, Honey, and Candy</t>
  </si>
  <si>
    <t>Sugar, white, granualted</t>
  </si>
  <si>
    <t>Sugar, native brown</t>
  </si>
  <si>
    <t>Averages from Tab FAO Data A2 (Converted to Kgs)</t>
  </si>
  <si>
    <t>Table 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</si>
</sst>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Inherit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0" fillId="0" borderId="1" xfId="0" applyBorder="1"/>
    <xf numFmtId="0" fontId="5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nnutricion.org/media/tablas/INCAP.pdf" TargetMode="External"/><Relationship Id="rId2" Type="http://schemas.openxmlformats.org/officeDocument/2006/relationships/hyperlink" Target="https://www.incmnsz.mx/2019/TABLAS_ALIMENTOS.pdf" TargetMode="External"/><Relationship Id="rId1" Type="http://schemas.openxmlformats.org/officeDocument/2006/relationships/hyperlink" Target="https://inmu.mahidol.ac.th/aseanfoods/doc/OnlineASEAN_FCD_V1_2014.pdf" TargetMode="External"/><Relationship Id="rId4" Type="http://schemas.openxmlformats.org/officeDocument/2006/relationships/hyperlink" Target="https://www.fao.org/4/X6877E/X6877E0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1BDD-C02B-49E1-A74D-5E9159C42566}">
  <dimension ref="D4:AH28"/>
  <sheetViews>
    <sheetView zoomScale="70" zoomScaleNormal="70" workbookViewId="0">
      <selection activeCell="AB9" sqref="AB9"/>
    </sheetView>
  </sheetViews>
  <sheetFormatPr defaultRowHeight="15" x14ac:dyDescent="0.25"/>
  <cols>
    <col min="4" max="4" width="18.5703125" customWidth="1"/>
    <col min="5" max="5" width="12.140625" customWidth="1"/>
    <col min="9" max="9" width="11.28515625" customWidth="1"/>
    <col min="13" max="13" width="13" customWidth="1"/>
    <col min="14" max="14" width="9.85546875" customWidth="1"/>
    <col min="15" max="15" width="10.7109375" customWidth="1"/>
    <col min="16" max="16" width="10.5703125" customWidth="1"/>
    <col min="17" max="18" width="11.28515625" customWidth="1"/>
  </cols>
  <sheetData>
    <row r="4" spans="4:34" x14ac:dyDescent="0.25">
      <c r="D4" s="17" t="s">
        <v>268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4:34" x14ac:dyDescent="0.25">
      <c r="D5" s="6"/>
      <c r="E5" s="6"/>
      <c r="F5" s="14" t="s">
        <v>274</v>
      </c>
      <c r="G5" s="14"/>
      <c r="H5" s="14"/>
      <c r="I5" s="14"/>
      <c r="J5" s="14"/>
      <c r="K5" s="14"/>
      <c r="L5" s="14"/>
      <c r="M5" s="14"/>
      <c r="N5" s="14"/>
      <c r="O5" s="14"/>
      <c r="P5" s="15" t="s">
        <v>275</v>
      </c>
      <c r="Q5" s="15"/>
      <c r="R5" s="15"/>
      <c r="S5" s="15"/>
      <c r="T5" s="15"/>
      <c r="U5" s="15"/>
      <c r="V5" s="15"/>
      <c r="W5" s="15"/>
      <c r="X5" s="15"/>
      <c r="Z5" s="16" t="s">
        <v>299</v>
      </c>
      <c r="AA5" s="16"/>
      <c r="AB5" s="16"/>
      <c r="AC5" s="16"/>
      <c r="AD5" s="16"/>
      <c r="AE5" s="16"/>
      <c r="AF5" s="16"/>
      <c r="AG5" s="16"/>
      <c r="AH5" s="16"/>
    </row>
    <row r="6" spans="4:34" x14ac:dyDescent="0.25">
      <c r="D6" s="6" t="s">
        <v>269</v>
      </c>
      <c r="E6" s="6" t="s">
        <v>270</v>
      </c>
      <c r="F6" s="8" t="s">
        <v>271</v>
      </c>
      <c r="G6" s="8" t="s">
        <v>272</v>
      </c>
      <c r="H6" s="8" t="s">
        <v>273</v>
      </c>
      <c r="I6" s="8" t="s">
        <v>5</v>
      </c>
      <c r="J6" s="8" t="s">
        <v>6</v>
      </c>
      <c r="K6" s="8" t="s">
        <v>36</v>
      </c>
      <c r="L6" s="8" t="s">
        <v>37</v>
      </c>
      <c r="M6" s="8" t="s">
        <v>41</v>
      </c>
      <c r="N6" s="8" t="s">
        <v>42</v>
      </c>
      <c r="O6" s="8" t="s">
        <v>30</v>
      </c>
      <c r="P6" s="9" t="s">
        <v>272</v>
      </c>
      <c r="Q6" s="9" t="s">
        <v>273</v>
      </c>
      <c r="R6" s="9" t="s">
        <v>5</v>
      </c>
      <c r="S6" s="9" t="s">
        <v>6</v>
      </c>
      <c r="T6" s="9" t="s">
        <v>36</v>
      </c>
      <c r="U6" s="9" t="s">
        <v>37</v>
      </c>
      <c r="V6" s="9" t="s">
        <v>41</v>
      </c>
      <c r="W6" s="9" t="s">
        <v>42</v>
      </c>
      <c r="X6" s="9" t="s">
        <v>30</v>
      </c>
      <c r="Z6" s="10" t="s">
        <v>272</v>
      </c>
      <c r="AA6" s="10" t="s">
        <v>273</v>
      </c>
      <c r="AB6" s="10" t="s">
        <v>5</v>
      </c>
      <c r="AC6" s="10" t="s">
        <v>6</v>
      </c>
      <c r="AD6" s="10" t="s">
        <v>36</v>
      </c>
      <c r="AE6" s="10" t="s">
        <v>37</v>
      </c>
      <c r="AF6" s="10" t="s">
        <v>41</v>
      </c>
      <c r="AG6" s="10" t="s">
        <v>42</v>
      </c>
      <c r="AH6" s="10" t="s">
        <v>30</v>
      </c>
    </row>
    <row r="7" spans="4:34" x14ac:dyDescent="0.25">
      <c r="D7" s="7" t="s">
        <v>280</v>
      </c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Z7" s="11"/>
      <c r="AA7" s="12"/>
      <c r="AB7" s="12"/>
      <c r="AC7" s="12"/>
      <c r="AD7" s="12"/>
      <c r="AE7" s="12"/>
      <c r="AF7" s="12"/>
      <c r="AG7" s="12"/>
      <c r="AH7" s="13"/>
    </row>
    <row r="8" spans="4:34" x14ac:dyDescent="0.25">
      <c r="D8" s="6" t="s">
        <v>276</v>
      </c>
      <c r="E8" s="6">
        <v>1E-3</v>
      </c>
      <c r="F8" s="6">
        <v>10.26</v>
      </c>
      <c r="G8" s="6">
        <f>$F8*Z8</f>
        <v>30343.95</v>
      </c>
      <c r="H8" s="6">
        <f t="shared" ref="G8:O11" si="0">$F8*AA8</f>
        <v>6117.7815000000001</v>
      </c>
      <c r="I8" s="6">
        <f t="shared" si="0"/>
        <v>798.22799999999995</v>
      </c>
      <c r="J8" s="6">
        <f t="shared" si="0"/>
        <v>385.26299999999998</v>
      </c>
      <c r="K8" s="6">
        <f t="shared" si="0"/>
        <v>755.82</v>
      </c>
      <c r="L8" s="6">
        <f t="shared" si="0"/>
        <v>110.295</v>
      </c>
      <c r="M8" s="6">
        <f t="shared" si="0"/>
        <v>974.69999999999993</v>
      </c>
      <c r="N8" s="6">
        <f t="shared" si="0"/>
        <v>304.209</v>
      </c>
      <c r="O8" s="6">
        <f t="shared" si="0"/>
        <v>436.05</v>
      </c>
      <c r="P8" s="6">
        <f>$E8*G8</f>
        <v>30.343950000000003</v>
      </c>
      <c r="Q8" s="6">
        <f t="shared" ref="Q8:X11" si="1">$E8*H8</f>
        <v>6.1177815000000004</v>
      </c>
      <c r="R8" s="6">
        <f t="shared" si="1"/>
        <v>0.79822799999999994</v>
      </c>
      <c r="S8" s="6">
        <f t="shared" si="1"/>
        <v>0.38526299999999997</v>
      </c>
      <c r="T8" s="6">
        <f t="shared" si="1"/>
        <v>0.75582000000000005</v>
      </c>
      <c r="U8" s="6">
        <f t="shared" si="1"/>
        <v>0.110295</v>
      </c>
      <c r="V8" s="6">
        <f t="shared" si="1"/>
        <v>0.9746999999999999</v>
      </c>
      <c r="W8" s="6">
        <f t="shared" si="1"/>
        <v>0.30420900000000001</v>
      </c>
      <c r="X8" s="6">
        <f t="shared" si="1"/>
        <v>0.43604999999999999</v>
      </c>
      <c r="Z8" s="6">
        <f>10*(AVERAGE('FAO Data A2'!J27:J30))</f>
        <v>2957.5</v>
      </c>
      <c r="AA8" s="6">
        <f>10*(AVERAGE('FAO Data A2'!K27:K30))</f>
        <v>596.27499999999998</v>
      </c>
      <c r="AB8" s="6">
        <f>10*(AVERAGE('FAO Data A2'!L27:L30))</f>
        <v>77.8</v>
      </c>
      <c r="AC8" s="6">
        <f>10*(AVERAGE('FAO Data A2'!M27:M30))</f>
        <v>37.549999999999997</v>
      </c>
      <c r="AD8" s="6">
        <f>10*(AVERAGE('FAO Data A2'!N27:N30))</f>
        <v>73.666666666666671</v>
      </c>
      <c r="AE8" s="6">
        <f>10*(AVERAGE('FAO Data A2'!O27:O30))</f>
        <v>10.75</v>
      </c>
      <c r="AF8" s="6">
        <f>10*(AVERAGE('FAO Data A2'!P27:P30))</f>
        <v>95</v>
      </c>
      <c r="AG8" s="6">
        <f>10*(AVERAGE('FAO Data A2'!Q27:Q30))</f>
        <v>29.65</v>
      </c>
      <c r="AH8" s="6">
        <f>10*(AVERAGE('FAO Data A2'!R27:R30))</f>
        <v>42.5</v>
      </c>
    </row>
    <row r="9" spans="4:34" x14ac:dyDescent="0.25">
      <c r="D9" s="6" t="s">
        <v>277</v>
      </c>
      <c r="E9" s="6">
        <v>0.156</v>
      </c>
      <c r="F9" s="6">
        <v>0.56999999999999995</v>
      </c>
      <c r="G9" s="6">
        <f t="shared" si="0"/>
        <v>2052</v>
      </c>
      <c r="H9" s="6">
        <f t="shared" si="0"/>
        <v>454.2045</v>
      </c>
      <c r="I9" s="6">
        <f t="shared" si="0"/>
        <v>39.287249999999993</v>
      </c>
      <c r="J9" s="6">
        <f t="shared" si="0"/>
        <v>3.0637499999999998</v>
      </c>
      <c r="K9" s="6">
        <f t="shared" si="0"/>
        <v>3.99</v>
      </c>
      <c r="L9" s="6">
        <f t="shared" si="0"/>
        <v>3.1777499999999996</v>
      </c>
      <c r="M9" s="6">
        <f t="shared" si="0"/>
        <v>86.212499999999991</v>
      </c>
      <c r="N9" s="6">
        <f t="shared" si="0"/>
        <v>6.5977499999999987</v>
      </c>
      <c r="O9" s="6">
        <f t="shared" si="0"/>
        <v>0</v>
      </c>
      <c r="P9" s="6">
        <f>$E9*G9</f>
        <v>320.11200000000002</v>
      </c>
      <c r="Q9" s="6">
        <f t="shared" si="1"/>
        <v>70.855902</v>
      </c>
      <c r="R9" s="6">
        <f t="shared" si="1"/>
        <v>6.1288109999999989</v>
      </c>
      <c r="S9" s="6">
        <f t="shared" si="1"/>
        <v>0.47794499999999995</v>
      </c>
      <c r="T9" s="6">
        <f t="shared" si="1"/>
        <v>0.62243999999999999</v>
      </c>
      <c r="U9" s="6">
        <f t="shared" si="1"/>
        <v>0.49572899999999992</v>
      </c>
      <c r="V9" s="6">
        <f t="shared" si="1"/>
        <v>13.449149999999999</v>
      </c>
      <c r="W9" s="6">
        <f t="shared" si="1"/>
        <v>1.0292489999999999</v>
      </c>
      <c r="X9" s="6">
        <f t="shared" si="1"/>
        <v>0</v>
      </c>
      <c r="Z9" s="6">
        <f>10*(AVERAGE('FAO Data A2'!J35:J38))</f>
        <v>3600</v>
      </c>
      <c r="AA9" s="6">
        <f>10*(AVERAGE('FAO Data A2'!K35:K38))</f>
        <v>796.85</v>
      </c>
      <c r="AB9" s="6">
        <f>10*(AVERAGE('FAO Data A2'!L35:L38))</f>
        <v>68.924999999999997</v>
      </c>
      <c r="AC9" s="6">
        <f>10*(AVERAGE('FAO Data A2'!M35:M38))</f>
        <v>5.375</v>
      </c>
      <c r="AD9" s="6">
        <f>10*(AVERAGE('FAO Data A2'!N35:N38))</f>
        <v>7.0000000000000009</v>
      </c>
      <c r="AE9" s="6">
        <f>10*(AVERAGE('FAO Data A2'!O35:O38))</f>
        <v>5.5750000000000002</v>
      </c>
      <c r="AF9" s="6">
        <f>10*(AVERAGE('FAO Data A2'!P35:P38))</f>
        <v>151.25</v>
      </c>
      <c r="AG9" s="6">
        <f>10*(AVERAGE('FAO Data A2'!Q35:Q38))</f>
        <v>11.574999999999999</v>
      </c>
      <c r="AH9" s="6">
        <f>10*(AVERAGE('FAO Data A2'!R35:R38))</f>
        <v>0</v>
      </c>
    </row>
    <row r="10" spans="4:34" x14ac:dyDescent="0.25">
      <c r="D10" s="6" t="s">
        <v>278</v>
      </c>
      <c r="E10" s="6">
        <v>0.32700000000000001</v>
      </c>
      <c r="F10" s="6">
        <v>0.28000000000000003</v>
      </c>
      <c r="G10" s="6">
        <f t="shared" si="0"/>
        <v>774.90000000000009</v>
      </c>
      <c r="H10" s="6">
        <f t="shared" si="0"/>
        <v>141.386</v>
      </c>
      <c r="I10" s="6">
        <f t="shared" si="0"/>
        <v>25.634000000000004</v>
      </c>
      <c r="J10" s="6">
        <f t="shared" si="0"/>
        <v>9.9773333333333358</v>
      </c>
      <c r="K10" s="6">
        <f t="shared" si="0"/>
        <v>8.0266666666666691</v>
      </c>
      <c r="L10" s="6">
        <f t="shared" si="0"/>
        <v>5.2919999999999998</v>
      </c>
      <c r="M10" s="6">
        <f t="shared" si="0"/>
        <v>265.3</v>
      </c>
      <c r="N10" s="6">
        <f t="shared" si="0"/>
        <v>28.868000000000006</v>
      </c>
      <c r="O10" s="6">
        <f t="shared" si="0"/>
        <v>0</v>
      </c>
      <c r="P10" s="6">
        <f>$E10*G10</f>
        <v>253.39230000000003</v>
      </c>
      <c r="Q10" s="6">
        <f t="shared" si="1"/>
        <v>46.233221999999998</v>
      </c>
      <c r="R10" s="6">
        <f t="shared" si="1"/>
        <v>8.3823180000000015</v>
      </c>
      <c r="S10" s="6">
        <f t="shared" si="1"/>
        <v>3.2625880000000009</v>
      </c>
      <c r="T10" s="6">
        <f t="shared" si="1"/>
        <v>2.6247200000000008</v>
      </c>
      <c r="U10" s="6">
        <f t="shared" si="1"/>
        <v>1.7304839999999999</v>
      </c>
      <c r="V10" s="6">
        <f t="shared" si="1"/>
        <v>86.753100000000003</v>
      </c>
      <c r="W10" s="6">
        <f t="shared" si="1"/>
        <v>9.4398360000000014</v>
      </c>
      <c r="X10" s="6">
        <f t="shared" si="1"/>
        <v>0</v>
      </c>
      <c r="Z10" s="6">
        <f>10*(AVERAGE('FAO Data A2'!J31:J34))</f>
        <v>2767.5</v>
      </c>
      <c r="AA10" s="6">
        <f>10*(AVERAGE('FAO Data A2'!K31:K34))</f>
        <v>504.94999999999993</v>
      </c>
      <c r="AB10" s="6">
        <f>10*(AVERAGE('FAO Data A2'!L31:L34))</f>
        <v>91.550000000000011</v>
      </c>
      <c r="AC10" s="6">
        <f>10*(AVERAGE('FAO Data A2'!M31:M34))</f>
        <v>35.63333333333334</v>
      </c>
      <c r="AD10" s="6">
        <f>10*(AVERAGE('FAO Data A2'!N31:N34))</f>
        <v>28.666666666666671</v>
      </c>
      <c r="AE10" s="6">
        <f>10*(AVERAGE('FAO Data A2'!O31:O34))</f>
        <v>18.899999999999999</v>
      </c>
      <c r="AF10" s="6">
        <f>10*(AVERAGE('FAO Data A2'!P31:P34))</f>
        <v>947.5</v>
      </c>
      <c r="AG10" s="6">
        <f>10*(AVERAGE('FAO Data A2'!Q31:Q34))</f>
        <v>103.10000000000001</v>
      </c>
      <c r="AH10" s="6">
        <f>10*(AVERAGE('FAO Data A2'!R31:R34))</f>
        <v>0</v>
      </c>
    </row>
    <row r="11" spans="4:34" x14ac:dyDescent="0.25">
      <c r="D11" s="6" t="s">
        <v>279</v>
      </c>
      <c r="E11" s="6">
        <v>0.34</v>
      </c>
      <c r="F11" s="6">
        <v>0.49</v>
      </c>
      <c r="G11" s="6">
        <f t="shared" si="0"/>
        <v>373.625</v>
      </c>
      <c r="H11" s="6">
        <f t="shared" si="0"/>
        <v>85.198750000000018</v>
      </c>
      <c r="I11" s="6">
        <f t="shared" si="0"/>
        <v>9.5672500000000014</v>
      </c>
      <c r="J11" s="6">
        <f t="shared" si="0"/>
        <v>1.4332500000000001</v>
      </c>
      <c r="K11" s="6">
        <f t="shared" si="0"/>
        <v>8.0849999999999991</v>
      </c>
      <c r="L11" s="6">
        <f t="shared" si="0"/>
        <v>5.782</v>
      </c>
      <c r="M11" s="6">
        <f t="shared" si="0"/>
        <v>61.164250000000003</v>
      </c>
      <c r="N11" s="6">
        <f t="shared" si="0"/>
        <v>6.7130000000000001</v>
      </c>
      <c r="O11" s="6">
        <f t="shared" si="0"/>
        <v>102.64274999999998</v>
      </c>
      <c r="P11" s="6">
        <f>$E11*G11</f>
        <v>127.03250000000001</v>
      </c>
      <c r="Q11" s="6">
        <f t="shared" si="1"/>
        <v>28.967575000000007</v>
      </c>
      <c r="R11" s="6">
        <f t="shared" si="1"/>
        <v>3.2528650000000008</v>
      </c>
      <c r="S11" s="6">
        <f t="shared" si="1"/>
        <v>0.4873050000000001</v>
      </c>
      <c r="T11" s="6">
        <f t="shared" si="1"/>
        <v>2.7488999999999999</v>
      </c>
      <c r="U11" s="6">
        <f t="shared" si="1"/>
        <v>1.9658800000000001</v>
      </c>
      <c r="V11" s="6">
        <f t="shared" si="1"/>
        <v>20.795845000000003</v>
      </c>
      <c r="W11" s="6">
        <f t="shared" si="1"/>
        <v>2.2824200000000001</v>
      </c>
      <c r="X11" s="6">
        <f t="shared" si="1"/>
        <v>34.898534999999995</v>
      </c>
      <c r="Z11" s="6">
        <f>10*(AVERAGE('FAO Data A2'!J39:J42))</f>
        <v>762.5</v>
      </c>
      <c r="AA11" s="6">
        <f>10*(AVERAGE('FAO Data A2'!K39:K42))</f>
        <v>173.87500000000003</v>
      </c>
      <c r="AB11" s="6">
        <f>10*(AVERAGE('FAO Data A2'!L39:L42))</f>
        <v>19.525000000000002</v>
      </c>
      <c r="AC11" s="6">
        <f>10*(AVERAGE('FAO Data A2'!M39:M42))</f>
        <v>2.9250000000000003</v>
      </c>
      <c r="AD11" s="6">
        <f>10*(AVERAGE('FAO Data A2'!N39:N42))</f>
        <v>16.5</v>
      </c>
      <c r="AE11" s="6">
        <f>10*(AVERAGE('FAO Data A2'!O39:O42))</f>
        <v>11.8</v>
      </c>
      <c r="AF11" s="6">
        <f>10*(AVERAGE('FAO Data A2'!P39:P42))</f>
        <v>124.825</v>
      </c>
      <c r="AG11" s="6">
        <f>10*(AVERAGE('FAO Data A2'!Q39:Q42))</f>
        <v>13.700000000000001</v>
      </c>
      <c r="AH11" s="6">
        <f>10*(AVERAGE('FAO Data A2'!R39:R42))</f>
        <v>209.47499999999997</v>
      </c>
    </row>
    <row r="12" spans="4:34" x14ac:dyDescent="0.25">
      <c r="D12" s="7" t="s">
        <v>170</v>
      </c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  <c r="Z12" s="11"/>
      <c r="AA12" s="12"/>
      <c r="AB12" s="12"/>
      <c r="AC12" s="12"/>
      <c r="AD12" s="12"/>
      <c r="AE12" s="12"/>
      <c r="AF12" s="12"/>
      <c r="AG12" s="12"/>
      <c r="AH12" s="13"/>
    </row>
    <row r="13" spans="4:34" x14ac:dyDescent="0.25">
      <c r="D13" s="6" t="s">
        <v>281</v>
      </c>
      <c r="E13" s="6">
        <v>0.41699999999999998</v>
      </c>
      <c r="F13" s="6">
        <v>0.43</v>
      </c>
      <c r="G13" s="6">
        <f t="shared" ref="G13:O19" si="2">$F13*Z13</f>
        <v>689.07500000000005</v>
      </c>
      <c r="H13" s="6">
        <f t="shared" si="2"/>
        <v>0</v>
      </c>
      <c r="I13" s="6">
        <f t="shared" si="2"/>
        <v>86.591250000000016</v>
      </c>
      <c r="J13" s="6">
        <f t="shared" si="2"/>
        <v>34.60425</v>
      </c>
      <c r="K13" s="6">
        <f t="shared" si="2"/>
        <v>0</v>
      </c>
      <c r="L13" s="6">
        <f t="shared" si="2"/>
        <v>4.2032499999999997</v>
      </c>
      <c r="M13" s="6">
        <f t="shared" si="2"/>
        <v>43.827749999999995</v>
      </c>
      <c r="N13" s="6">
        <f t="shared" si="2"/>
        <v>10.148</v>
      </c>
      <c r="O13" s="6">
        <f t="shared" si="2"/>
        <v>1.075</v>
      </c>
      <c r="P13" s="6">
        <f t="shared" ref="P13:P19" si="3">$E13*G13</f>
        <v>287.34427499999998</v>
      </c>
      <c r="Q13" s="6">
        <f t="shared" ref="Q13:Q19" si="4">$E13*H13</f>
        <v>0</v>
      </c>
      <c r="R13" s="6">
        <f t="shared" ref="R13:R19" si="5">$E13*I13</f>
        <v>36.108551250000005</v>
      </c>
      <c r="S13" s="6">
        <f t="shared" ref="S13:S19" si="6">$E13*J13</f>
        <v>14.429972249999999</v>
      </c>
      <c r="T13" s="6">
        <f t="shared" ref="T13:T19" si="7">$E13*K13</f>
        <v>0</v>
      </c>
      <c r="U13" s="6">
        <f t="shared" ref="U13:U19" si="8">$E13*L13</f>
        <v>1.7527552499999999</v>
      </c>
      <c r="V13" s="6">
        <f t="shared" ref="V13:V19" si="9">$E13*M13</f>
        <v>18.276171749999996</v>
      </c>
      <c r="W13" s="6">
        <f t="shared" ref="W13:W19" si="10">$E13*N13</f>
        <v>4.2317159999999996</v>
      </c>
      <c r="X13" s="6">
        <f t="shared" ref="X13:X19" si="11">$E13*O13</f>
        <v>0.44827499999999998</v>
      </c>
      <c r="Z13" s="6">
        <f>10*(AVERAGE('FAO Data A2'!J3:J6))</f>
        <v>1602.5</v>
      </c>
      <c r="AA13" s="6">
        <f>10*(AVERAGE('FAO Data A2'!K3:K6))</f>
        <v>0</v>
      </c>
      <c r="AB13" s="6">
        <f>10*(AVERAGE('FAO Data A2'!L3:L6))</f>
        <v>201.37500000000003</v>
      </c>
      <c r="AC13" s="6">
        <f>10*(AVERAGE('FAO Data A2'!M3:M6))</f>
        <v>80.474999999999994</v>
      </c>
      <c r="AD13" s="6">
        <f>10*(AVERAGE('FAO Data A2'!N3:N6))</f>
        <v>0</v>
      </c>
      <c r="AE13" s="6">
        <f>10*(AVERAGE('FAO Data A2'!O3:O6))</f>
        <v>9.7750000000000004</v>
      </c>
      <c r="AF13" s="6">
        <f>10*(AVERAGE('FAO Data A2'!P3:P6))</f>
        <v>101.92499999999998</v>
      </c>
      <c r="AG13" s="6">
        <f>10*(AVERAGE('FAO Data A2'!Q3:Q6))</f>
        <v>23.599999999999998</v>
      </c>
      <c r="AH13" s="6">
        <f>10*(AVERAGE('FAO Data A2'!R3:R6))</f>
        <v>2.5</v>
      </c>
    </row>
    <row r="14" spans="4:34" x14ac:dyDescent="0.25">
      <c r="D14" s="6" t="s">
        <v>282</v>
      </c>
      <c r="E14" s="6">
        <v>0.193</v>
      </c>
      <c r="F14" s="6">
        <v>0.2</v>
      </c>
      <c r="G14" s="6">
        <f t="shared" si="2"/>
        <v>427</v>
      </c>
      <c r="H14" s="6">
        <f t="shared" si="2"/>
        <v>0</v>
      </c>
      <c r="I14" s="6">
        <f t="shared" si="2"/>
        <v>38.300000000000004</v>
      </c>
      <c r="J14" s="6">
        <f t="shared" si="2"/>
        <v>29.785000000000004</v>
      </c>
      <c r="K14" s="6">
        <f t="shared" si="2"/>
        <v>0</v>
      </c>
      <c r="L14" s="6">
        <f t="shared" si="2"/>
        <v>2.0950000000000002</v>
      </c>
      <c r="M14" s="6">
        <f t="shared" si="2"/>
        <v>12.5</v>
      </c>
      <c r="N14" s="6">
        <f t="shared" si="2"/>
        <v>2.2450000000000006</v>
      </c>
      <c r="O14" s="6">
        <f t="shared" si="2"/>
        <v>0</v>
      </c>
      <c r="P14" s="6">
        <f t="shared" si="3"/>
        <v>82.411000000000001</v>
      </c>
      <c r="Q14" s="6">
        <f t="shared" si="4"/>
        <v>0</v>
      </c>
      <c r="R14" s="6">
        <f t="shared" si="5"/>
        <v>7.3919000000000006</v>
      </c>
      <c r="S14" s="6">
        <f t="shared" si="6"/>
        <v>5.7485050000000006</v>
      </c>
      <c r="T14" s="6">
        <f t="shared" si="7"/>
        <v>0</v>
      </c>
      <c r="U14" s="6">
        <f t="shared" si="8"/>
        <v>0.40433500000000006</v>
      </c>
      <c r="V14" s="6">
        <f t="shared" si="9"/>
        <v>2.4125000000000001</v>
      </c>
      <c r="W14" s="6">
        <f t="shared" si="10"/>
        <v>0.43328500000000014</v>
      </c>
      <c r="X14" s="6">
        <f t="shared" si="11"/>
        <v>0</v>
      </c>
      <c r="Z14" s="6">
        <f>10*(AVERAGE('FAO Data A2'!J7:J10))</f>
        <v>2135</v>
      </c>
      <c r="AA14" s="6">
        <f>10*(AVERAGE('FAO Data A2'!K7:K10))</f>
        <v>0</v>
      </c>
      <c r="AB14" s="6">
        <f>10*(AVERAGE('FAO Data A2'!L7:L10))</f>
        <v>191.50000000000003</v>
      </c>
      <c r="AC14" s="6">
        <f>10*(AVERAGE('FAO Data A2'!M7:M10))</f>
        <v>148.92500000000001</v>
      </c>
      <c r="AD14" s="6">
        <f>10*(AVERAGE('FAO Data A2'!N7:N10))</f>
        <v>0</v>
      </c>
      <c r="AE14" s="6">
        <f>10*(AVERAGE('FAO Data A2'!O7:O10))</f>
        <v>10.475000000000001</v>
      </c>
      <c r="AF14" s="6">
        <f>10*(AVERAGE('FAO Data A2'!P7:P10))</f>
        <v>62.5</v>
      </c>
      <c r="AG14" s="6">
        <f>10*(AVERAGE('FAO Data A2'!Q7:Q10))</f>
        <v>11.225000000000001</v>
      </c>
      <c r="AH14" s="6">
        <f>10*(AVERAGE('FAO Data A2'!R7:R10))</f>
        <v>0</v>
      </c>
    </row>
    <row r="15" spans="4:34" x14ac:dyDescent="0.25">
      <c r="D15" s="6" t="s">
        <v>283</v>
      </c>
      <c r="E15" s="6">
        <v>0.23499999999999999</v>
      </c>
      <c r="F15" s="6">
        <v>0.21</v>
      </c>
      <c r="G15" s="6">
        <f t="shared" si="2"/>
        <v>372.75</v>
      </c>
      <c r="H15" s="6">
        <f t="shared" si="2"/>
        <v>1.5225</v>
      </c>
      <c r="I15" s="6">
        <f t="shared" si="2"/>
        <v>39.180749999999996</v>
      </c>
      <c r="J15" s="6">
        <f t="shared" si="2"/>
        <v>21.960749999999997</v>
      </c>
      <c r="K15" s="6">
        <f t="shared" si="2"/>
        <v>0</v>
      </c>
      <c r="L15" s="6">
        <f t="shared" si="2"/>
        <v>3.1027499999999999</v>
      </c>
      <c r="M15" s="6">
        <f t="shared" si="2"/>
        <v>23.099999999999998</v>
      </c>
      <c r="N15" s="6">
        <f t="shared" si="2"/>
        <v>6.5257499999999995</v>
      </c>
      <c r="O15" s="6">
        <f t="shared" si="2"/>
        <v>0</v>
      </c>
      <c r="P15" s="6">
        <f t="shared" si="3"/>
        <v>87.596249999999998</v>
      </c>
      <c r="Q15" s="6">
        <f t="shared" si="4"/>
        <v>0.35778749999999998</v>
      </c>
      <c r="R15" s="6">
        <f t="shared" si="5"/>
        <v>9.2074762499999991</v>
      </c>
      <c r="S15" s="6">
        <f t="shared" si="6"/>
        <v>5.1607762499999987</v>
      </c>
      <c r="T15" s="6">
        <f t="shared" si="7"/>
        <v>0</v>
      </c>
      <c r="U15" s="6">
        <f t="shared" si="8"/>
        <v>0.72914624999999988</v>
      </c>
      <c r="V15" s="6">
        <f t="shared" si="9"/>
        <v>5.4284999999999988</v>
      </c>
      <c r="W15" s="6">
        <f t="shared" si="10"/>
        <v>1.5335512499999997</v>
      </c>
      <c r="X15" s="6">
        <f t="shared" si="11"/>
        <v>0</v>
      </c>
      <c r="Z15" s="6">
        <f>10*(AVERAGE('FAO Data A2'!J59:J62))</f>
        <v>1775</v>
      </c>
      <c r="AA15" s="6">
        <f>10*(AVERAGE('FAO Data A2'!K59:K62))</f>
        <v>7.25</v>
      </c>
      <c r="AB15" s="6">
        <f>10*(AVERAGE('FAO Data A2'!L59:L62))</f>
        <v>186.57499999999999</v>
      </c>
      <c r="AC15" s="6">
        <f>10*(AVERAGE('FAO Data A2'!M59:M62))</f>
        <v>104.57499999999999</v>
      </c>
      <c r="AD15" s="6">
        <f>10*(AVERAGE('FAO Data A2'!N59:N62))</f>
        <v>0</v>
      </c>
      <c r="AE15" s="6">
        <f>10*(AVERAGE('FAO Data A2'!O59:O62))</f>
        <v>14.775</v>
      </c>
      <c r="AF15" s="6">
        <f>10*(AVERAGE('FAO Data A2'!P59:P62))</f>
        <v>110</v>
      </c>
      <c r="AG15" s="6">
        <f>10*(AVERAGE('FAO Data A2'!Q59:Q62))</f>
        <v>31.074999999999999</v>
      </c>
      <c r="AH15" s="6">
        <f>10*(AVERAGE('FAO Data A2'!R59:R62))</f>
        <v>0</v>
      </c>
    </row>
    <row r="16" spans="4:34" x14ac:dyDescent="0.25">
      <c r="D16" s="6" t="s">
        <v>284</v>
      </c>
      <c r="E16" s="6">
        <v>6.8000000000000005E-2</v>
      </c>
      <c r="F16" s="6">
        <v>0.05</v>
      </c>
      <c r="G16" s="6">
        <f t="shared" si="2"/>
        <v>50.75</v>
      </c>
      <c r="H16" s="6">
        <f t="shared" si="2"/>
        <v>0</v>
      </c>
      <c r="I16" s="6">
        <f t="shared" si="2"/>
        <v>8.4637500000000028</v>
      </c>
      <c r="J16" s="6">
        <f t="shared" si="2"/>
        <v>1.5649999999999999</v>
      </c>
      <c r="K16" s="6">
        <f t="shared" si="2"/>
        <v>0</v>
      </c>
      <c r="L16" s="6">
        <f t="shared" si="2"/>
        <v>0.52749999999999997</v>
      </c>
      <c r="M16" s="6">
        <f t="shared" si="2"/>
        <v>15.875</v>
      </c>
      <c r="N16" s="6">
        <f t="shared" si="2"/>
        <v>0.34125000000000005</v>
      </c>
      <c r="O16" s="6">
        <f t="shared" si="2"/>
        <v>0.33333333333333331</v>
      </c>
      <c r="P16" s="6">
        <f t="shared" si="3"/>
        <v>3.4510000000000001</v>
      </c>
      <c r="Q16" s="6">
        <f t="shared" si="4"/>
        <v>0</v>
      </c>
      <c r="R16" s="6">
        <f t="shared" si="5"/>
        <v>0.57553500000000024</v>
      </c>
      <c r="S16" s="6">
        <f t="shared" si="6"/>
        <v>0.10642</v>
      </c>
      <c r="T16" s="6">
        <f t="shared" si="7"/>
        <v>0</v>
      </c>
      <c r="U16" s="6">
        <f t="shared" si="8"/>
        <v>3.5869999999999999E-2</v>
      </c>
      <c r="V16" s="6">
        <f t="shared" si="9"/>
        <v>1.0795000000000001</v>
      </c>
      <c r="W16" s="6">
        <f t="shared" si="10"/>
        <v>2.3205000000000007E-2</v>
      </c>
      <c r="X16" s="6">
        <f t="shared" si="11"/>
        <v>2.2666666666666668E-2</v>
      </c>
      <c r="Z16" s="6">
        <f>10*(AVERAGE('FAO Data A2'!J15:J18))</f>
        <v>1015</v>
      </c>
      <c r="AA16" s="6">
        <f>10*(AVERAGE('FAO Data A2'!K15:K18))</f>
        <v>0</v>
      </c>
      <c r="AB16" s="6">
        <f>10*(AVERAGE('FAO Data A2'!L15:L18))</f>
        <v>169.27500000000003</v>
      </c>
      <c r="AC16" s="6">
        <f>10*(AVERAGE('FAO Data A2'!M15:M18))</f>
        <v>31.299999999999997</v>
      </c>
      <c r="AD16" s="6">
        <f>10*(AVERAGE('FAO Data A2'!N15:N18))</f>
        <v>0</v>
      </c>
      <c r="AE16" s="6">
        <f>10*(AVERAGE('FAO Data A2'!O15:O18))</f>
        <v>10.549999999999999</v>
      </c>
      <c r="AF16" s="6">
        <f>10*(AVERAGE('FAO Data A2'!P15:P18))</f>
        <v>317.5</v>
      </c>
      <c r="AG16" s="6">
        <f>10*(AVERAGE('FAO Data A2'!Q15:Q18))</f>
        <v>6.8250000000000002</v>
      </c>
      <c r="AH16" s="6">
        <f>10*(AVERAGE('FAO Data A2'!R15:R18))</f>
        <v>6.6666666666666661</v>
      </c>
    </row>
    <row r="17" spans="4:34" x14ac:dyDescent="0.25">
      <c r="D17" s="6" t="s">
        <v>252</v>
      </c>
      <c r="E17" s="6">
        <v>0.20899999999999999</v>
      </c>
      <c r="F17" s="6">
        <v>0.82</v>
      </c>
      <c r="G17" s="6">
        <f t="shared" si="2"/>
        <v>1211.55</v>
      </c>
      <c r="H17" s="6">
        <f t="shared" si="2"/>
        <v>15.989999999999997</v>
      </c>
      <c r="I17" s="6">
        <f t="shared" si="2"/>
        <v>102.25399999999999</v>
      </c>
      <c r="J17" s="6">
        <f t="shared" si="2"/>
        <v>80.647000000000006</v>
      </c>
      <c r="K17" s="6">
        <f t="shared" si="2"/>
        <v>0</v>
      </c>
      <c r="L17" s="6">
        <f t="shared" si="2"/>
        <v>8.5280000000000005</v>
      </c>
      <c r="M17" s="6">
        <f t="shared" si="2"/>
        <v>410.697</v>
      </c>
      <c r="N17" s="6">
        <f t="shared" si="2"/>
        <v>18.409000000000002</v>
      </c>
      <c r="O17" s="6">
        <f t="shared" si="2"/>
        <v>0</v>
      </c>
      <c r="P17" s="6">
        <f t="shared" si="3"/>
        <v>253.21394999999998</v>
      </c>
      <c r="Q17" s="6">
        <f t="shared" si="4"/>
        <v>3.341909999999999</v>
      </c>
      <c r="R17" s="6">
        <f t="shared" si="5"/>
        <v>21.371085999999998</v>
      </c>
      <c r="S17" s="6">
        <f t="shared" si="6"/>
        <v>16.855222999999999</v>
      </c>
      <c r="T17" s="6">
        <f t="shared" si="7"/>
        <v>0</v>
      </c>
      <c r="U17" s="6">
        <f t="shared" si="8"/>
        <v>1.7823519999999999</v>
      </c>
      <c r="V17" s="6">
        <f t="shared" si="9"/>
        <v>85.835673</v>
      </c>
      <c r="W17" s="6">
        <f t="shared" si="10"/>
        <v>3.8474810000000002</v>
      </c>
      <c r="X17" s="6">
        <f t="shared" si="11"/>
        <v>0</v>
      </c>
      <c r="Z17" s="6">
        <f>10*(AVERAGE('FAO Data A2'!J19:J22))</f>
        <v>1477.5</v>
      </c>
      <c r="AA17" s="6">
        <f>10*(AVERAGE('FAO Data A2'!K19:K22))</f>
        <v>19.499999999999996</v>
      </c>
      <c r="AB17" s="6">
        <f>10*(AVERAGE('FAO Data A2'!L19:L22))</f>
        <v>124.69999999999999</v>
      </c>
      <c r="AC17" s="6">
        <f>10*(AVERAGE('FAO Data A2'!M19:M22))</f>
        <v>98.350000000000009</v>
      </c>
      <c r="AD17" s="6">
        <f>10*(AVERAGE('FAO Data A2'!N19:N22))</f>
        <v>0</v>
      </c>
      <c r="AE17" s="6">
        <f>10*(AVERAGE('FAO Data A2'!O19:O22))</f>
        <v>10.4</v>
      </c>
      <c r="AF17" s="6">
        <f>10*(AVERAGE('FAO Data A2'!P19:P22))</f>
        <v>500.85</v>
      </c>
      <c r="AG17" s="6">
        <f>10*(AVERAGE('FAO Data A2'!Q19:Q22))</f>
        <v>22.450000000000003</v>
      </c>
      <c r="AH17" s="6">
        <f>10*(AVERAGE('FAO Data A2'!R19:R22))</f>
        <v>0</v>
      </c>
    </row>
    <row r="18" spans="4:34" x14ac:dyDescent="0.25">
      <c r="D18" s="6" t="s">
        <v>285</v>
      </c>
      <c r="E18" s="6">
        <v>0.16</v>
      </c>
      <c r="F18" s="6">
        <v>0.53</v>
      </c>
      <c r="G18" s="6">
        <f t="shared" si="2"/>
        <v>357.75</v>
      </c>
      <c r="H18" s="6">
        <f t="shared" si="2"/>
        <v>24.803999999999998</v>
      </c>
      <c r="I18" s="6">
        <f t="shared" si="2"/>
        <v>17.913999999999998</v>
      </c>
      <c r="J18" s="6">
        <f t="shared" si="2"/>
        <v>23.465749999999996</v>
      </c>
      <c r="K18" s="6">
        <f t="shared" si="2"/>
        <v>0</v>
      </c>
      <c r="L18" s="6">
        <f t="shared" si="2"/>
        <v>3.82925</v>
      </c>
      <c r="M18" s="6">
        <f t="shared" si="2"/>
        <v>638.75600000000009</v>
      </c>
      <c r="N18" s="6">
        <f t="shared" si="2"/>
        <v>4.399</v>
      </c>
      <c r="O18" s="6">
        <f t="shared" si="2"/>
        <v>2.6500000000000004</v>
      </c>
      <c r="P18" s="6">
        <f t="shared" si="3"/>
        <v>57.24</v>
      </c>
      <c r="Q18" s="6">
        <f t="shared" si="4"/>
        <v>3.9686399999999997</v>
      </c>
      <c r="R18" s="6">
        <f t="shared" si="5"/>
        <v>2.8662399999999999</v>
      </c>
      <c r="S18" s="6">
        <f t="shared" si="6"/>
        <v>3.7545199999999994</v>
      </c>
      <c r="T18" s="6">
        <f t="shared" si="7"/>
        <v>0</v>
      </c>
      <c r="U18" s="6">
        <f t="shared" si="8"/>
        <v>0.61268</v>
      </c>
      <c r="V18" s="6">
        <f t="shared" si="9"/>
        <v>102.20096000000001</v>
      </c>
      <c r="W18" s="6">
        <f t="shared" si="10"/>
        <v>0.70384000000000002</v>
      </c>
      <c r="X18" s="6">
        <f t="shared" si="11"/>
        <v>0.42400000000000004</v>
      </c>
      <c r="Z18" s="6">
        <f>10*(AVERAGE('FAO Data A2'!J23:J26))</f>
        <v>675</v>
      </c>
      <c r="AA18" s="6">
        <f>10*(AVERAGE('FAO Data A2'!K23:K26))</f>
        <v>46.8</v>
      </c>
      <c r="AB18" s="6">
        <f>10*(AVERAGE('FAO Data A2'!L23:L26))</f>
        <v>33.799999999999997</v>
      </c>
      <c r="AC18" s="6">
        <f>10*(AVERAGE('FAO Data A2'!M23:M26))</f>
        <v>44.274999999999991</v>
      </c>
      <c r="AD18" s="6">
        <f>10*(AVERAGE('FAO Data A2'!N23:N26))</f>
        <v>0</v>
      </c>
      <c r="AE18" s="6">
        <f>10*(AVERAGE('FAO Data A2'!O23:O26))</f>
        <v>7.2249999999999996</v>
      </c>
      <c r="AF18" s="6">
        <f>10*(AVERAGE('FAO Data A2'!P23:P26))</f>
        <v>1205.2</v>
      </c>
      <c r="AG18" s="6">
        <f>10*(AVERAGE('FAO Data A2'!Q23:Q26))</f>
        <v>8.2999999999999989</v>
      </c>
      <c r="AH18" s="6">
        <f>10*(AVERAGE('FAO Data A2'!R23:R26))</f>
        <v>5</v>
      </c>
    </row>
    <row r="19" spans="4:34" x14ac:dyDescent="0.25">
      <c r="D19" s="6" t="s">
        <v>286</v>
      </c>
      <c r="E19" s="6">
        <v>7.0000000000000007E-2</v>
      </c>
      <c r="F19" s="6">
        <v>1.76</v>
      </c>
      <c r="G19" s="6">
        <f t="shared" si="2"/>
        <v>6991.6</v>
      </c>
      <c r="H19" s="6">
        <f t="shared" si="2"/>
        <v>437.05199999999991</v>
      </c>
      <c r="I19" s="6">
        <f t="shared" si="2"/>
        <v>643.98400000000004</v>
      </c>
      <c r="J19" s="6">
        <f t="shared" si="2"/>
        <v>326.39200000000005</v>
      </c>
      <c r="K19" s="6">
        <f t="shared" si="2"/>
        <v>199.32000000000002</v>
      </c>
      <c r="L19" s="6">
        <f t="shared" si="2"/>
        <v>87.296000000000006</v>
      </c>
      <c r="M19" s="6">
        <f t="shared" si="2"/>
        <v>4307.6000000000004</v>
      </c>
      <c r="N19" s="6">
        <f t="shared" si="2"/>
        <v>185.02000000000004</v>
      </c>
      <c r="O19" s="6">
        <f t="shared" si="2"/>
        <v>74.8</v>
      </c>
      <c r="P19" s="6">
        <f t="shared" si="3"/>
        <v>489.41200000000009</v>
      </c>
      <c r="Q19" s="6">
        <f t="shared" si="4"/>
        <v>30.593639999999997</v>
      </c>
      <c r="R19" s="6">
        <f t="shared" si="5"/>
        <v>45.078880000000005</v>
      </c>
      <c r="S19" s="6">
        <f t="shared" si="6"/>
        <v>22.847440000000006</v>
      </c>
      <c r="T19" s="6">
        <f t="shared" si="7"/>
        <v>13.952400000000003</v>
      </c>
      <c r="U19" s="6">
        <f t="shared" si="8"/>
        <v>6.1107200000000006</v>
      </c>
      <c r="V19" s="6">
        <f t="shared" si="9"/>
        <v>301.53200000000004</v>
      </c>
      <c r="W19" s="6">
        <f t="shared" si="10"/>
        <v>12.951400000000003</v>
      </c>
      <c r="X19" s="6">
        <f t="shared" si="11"/>
        <v>5.2360000000000007</v>
      </c>
      <c r="Z19" s="6">
        <f>10*(AVERAGE('FAO Data A2'!J67:J70))</f>
        <v>3972.5</v>
      </c>
      <c r="AA19" s="6">
        <f>10*(AVERAGE('FAO Data A2'!K67:K70))</f>
        <v>248.32499999999996</v>
      </c>
      <c r="AB19" s="6">
        <f>10*(AVERAGE('FAO Data A2'!L67:L70))</f>
        <v>365.90000000000003</v>
      </c>
      <c r="AC19" s="6">
        <f>10*(AVERAGE('FAO Data A2'!M67:M70))</f>
        <v>185.45000000000002</v>
      </c>
      <c r="AD19" s="6">
        <f>10*(AVERAGE('FAO Data A2'!N67:N70))</f>
        <v>113.25000000000001</v>
      </c>
      <c r="AE19" s="6">
        <f>10*(AVERAGE('FAO Data A2'!O67:O70))</f>
        <v>49.6</v>
      </c>
      <c r="AF19" s="6">
        <f>10*(AVERAGE('FAO Data A2'!P67:P70))</f>
        <v>2447.5</v>
      </c>
      <c r="AG19" s="6">
        <f>10*(AVERAGE('FAO Data A2'!Q67:Q70))</f>
        <v>105.12500000000001</v>
      </c>
      <c r="AH19" s="6">
        <f>10*(AVERAGE('FAO Data A2'!R67:R70))</f>
        <v>42.5</v>
      </c>
    </row>
    <row r="20" spans="4:34" x14ac:dyDescent="0.25">
      <c r="D20" s="7" t="s">
        <v>199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Z20" s="11"/>
      <c r="AA20" s="12"/>
      <c r="AB20" s="12"/>
      <c r="AC20" s="12"/>
      <c r="AD20" s="12"/>
      <c r="AE20" s="12"/>
      <c r="AF20" s="12"/>
      <c r="AG20" s="12"/>
      <c r="AH20" s="13"/>
    </row>
    <row r="21" spans="4:34" x14ac:dyDescent="0.25">
      <c r="D21" s="6" t="s">
        <v>287</v>
      </c>
      <c r="E21" s="6">
        <v>0.17399999999999999</v>
      </c>
      <c r="F21" s="6">
        <v>0.96</v>
      </c>
      <c r="G21" s="6">
        <f t="shared" ref="G21:O24" si="12">$F21*Z21</f>
        <v>187.2</v>
      </c>
      <c r="H21" s="6">
        <f t="shared" si="12"/>
        <v>33.839999999999989</v>
      </c>
      <c r="I21" s="6">
        <f t="shared" si="12"/>
        <v>8.3760000000000012</v>
      </c>
      <c r="J21" s="6">
        <f t="shared" si="12"/>
        <v>2.2559999999999998</v>
      </c>
      <c r="K21" s="6">
        <f t="shared" si="12"/>
        <v>9.84</v>
      </c>
      <c r="L21" s="6">
        <f t="shared" si="12"/>
        <v>5.3520000000000003</v>
      </c>
      <c r="M21" s="6">
        <f t="shared" si="12"/>
        <v>106.8</v>
      </c>
      <c r="N21" s="6">
        <f t="shared" si="12"/>
        <v>5.976</v>
      </c>
      <c r="O21" s="6">
        <f t="shared" si="12"/>
        <v>229.27199999999999</v>
      </c>
      <c r="P21" s="6">
        <f>$E21*G21</f>
        <v>32.572799999999994</v>
      </c>
      <c r="Q21" s="6">
        <f t="shared" ref="Q21:Q24" si="13">$E21*H21</f>
        <v>5.8881599999999974</v>
      </c>
      <c r="R21" s="6">
        <f t="shared" ref="R21:R24" si="14">$E21*I21</f>
        <v>1.4574240000000001</v>
      </c>
      <c r="S21" s="6">
        <f t="shared" ref="S21:S24" si="15">$E21*J21</f>
        <v>0.39254399999999995</v>
      </c>
      <c r="T21" s="6">
        <f t="shared" ref="T21:T24" si="16">$E21*K21</f>
        <v>1.7121599999999999</v>
      </c>
      <c r="U21" s="6">
        <f t="shared" ref="U21:U24" si="17">$E21*L21</f>
        <v>0.93124799999999996</v>
      </c>
      <c r="V21" s="6">
        <f t="shared" ref="V21:V24" si="18">$E21*M21</f>
        <v>18.583199999999998</v>
      </c>
      <c r="W21" s="6">
        <f t="shared" ref="W21:W24" si="19">$E21*N21</f>
        <v>1.0398239999999999</v>
      </c>
      <c r="X21" s="6">
        <f t="shared" ref="X21:X24" si="20">$E21*O21</f>
        <v>39.893327999999997</v>
      </c>
      <c r="Z21" s="6">
        <f>10*(AVERAGE('FAO Data A2'!J43:J46))</f>
        <v>195</v>
      </c>
      <c r="AA21" s="6">
        <f>10*(AVERAGE('FAO Data A2'!K43:K46))</f>
        <v>35.249999999999993</v>
      </c>
      <c r="AB21" s="6">
        <f>10*(AVERAGE('FAO Data A2'!L43:L46))</f>
        <v>8.7250000000000014</v>
      </c>
      <c r="AC21" s="6">
        <f>10*(AVERAGE('FAO Data A2'!M43:M46))</f>
        <v>2.3499999999999996</v>
      </c>
      <c r="AD21" s="6">
        <f>10*(AVERAGE('FAO Data A2'!N43:N46))</f>
        <v>10.25</v>
      </c>
      <c r="AE21" s="6">
        <f>10*(AVERAGE('FAO Data A2'!O43:O46))</f>
        <v>5.5750000000000002</v>
      </c>
      <c r="AF21" s="6">
        <f>10*(AVERAGE('FAO Data A2'!P43:P46))</f>
        <v>111.25</v>
      </c>
      <c r="AG21" s="6">
        <f>10*(AVERAGE('FAO Data A2'!Q43:Q46))</f>
        <v>6.2250000000000005</v>
      </c>
      <c r="AH21" s="6">
        <f>10*(AVERAGE('FAO Data A2'!R43:R46))</f>
        <v>238.82499999999999</v>
      </c>
    </row>
    <row r="22" spans="4:34" x14ac:dyDescent="0.25">
      <c r="D22" s="6" t="s">
        <v>288</v>
      </c>
      <c r="E22" s="6">
        <v>5.6000000000000001E-2</v>
      </c>
      <c r="F22" s="6">
        <v>0.04</v>
      </c>
      <c r="G22" s="6">
        <f t="shared" si="12"/>
        <v>10.85</v>
      </c>
      <c r="H22" s="6">
        <f t="shared" si="12"/>
        <v>1.3360000000000001</v>
      </c>
      <c r="I22" s="6">
        <f t="shared" si="12"/>
        <v>1.1779999999999999</v>
      </c>
      <c r="J22" s="6">
        <f t="shared" si="12"/>
        <v>0.12300000000000001</v>
      </c>
      <c r="K22" s="6">
        <f t="shared" si="12"/>
        <v>0.86799999999999999</v>
      </c>
      <c r="L22" s="6">
        <f t="shared" si="12"/>
        <v>0.74999999999999989</v>
      </c>
      <c r="M22" s="6">
        <f t="shared" si="12"/>
        <v>75.332999999999998</v>
      </c>
      <c r="N22" s="6">
        <f t="shared" si="12"/>
        <v>1.4220000000000002</v>
      </c>
      <c r="O22" s="6">
        <f t="shared" si="12"/>
        <v>17.52</v>
      </c>
      <c r="P22" s="6">
        <f>$E22*G22</f>
        <v>0.60760000000000003</v>
      </c>
      <c r="Q22" s="6">
        <f t="shared" si="13"/>
        <v>7.4816000000000007E-2</v>
      </c>
      <c r="R22" s="6">
        <f t="shared" si="14"/>
        <v>6.5967999999999999E-2</v>
      </c>
      <c r="S22" s="6">
        <f t="shared" si="15"/>
        <v>6.8880000000000009E-3</v>
      </c>
      <c r="T22" s="6">
        <f t="shared" si="16"/>
        <v>4.8607999999999998E-2</v>
      </c>
      <c r="U22" s="6">
        <f t="shared" si="17"/>
        <v>4.1999999999999996E-2</v>
      </c>
      <c r="V22" s="6">
        <f t="shared" si="18"/>
        <v>4.218648</v>
      </c>
      <c r="W22" s="6">
        <f t="shared" si="19"/>
        <v>7.9632000000000008E-2</v>
      </c>
      <c r="X22" s="6">
        <f t="shared" si="20"/>
        <v>0.98111999999999999</v>
      </c>
      <c r="Z22" s="6">
        <f>10*(AVERAGE('FAO Data A2'!J87:J90))</f>
        <v>271.25</v>
      </c>
      <c r="AA22" s="6">
        <f>10*(AVERAGE('FAO Data A2'!K87:K90))</f>
        <v>33.4</v>
      </c>
      <c r="AB22" s="6">
        <f>10*(AVERAGE('FAO Data A2'!L87:L90))</f>
        <v>29.45</v>
      </c>
      <c r="AC22" s="6">
        <f>10*(AVERAGE('FAO Data A2'!M87:M90))</f>
        <v>3.0750000000000002</v>
      </c>
      <c r="AD22" s="6">
        <f>10*(AVERAGE('FAO Data A2'!N87:N90))</f>
        <v>21.7</v>
      </c>
      <c r="AE22" s="6">
        <f>10*(AVERAGE('FAO Data A2'!O87:O90))</f>
        <v>18.749999999999996</v>
      </c>
      <c r="AF22" s="6">
        <f>10*(AVERAGE('FAO Data A2'!P87:P90))</f>
        <v>1883.3249999999998</v>
      </c>
      <c r="AG22" s="6">
        <f>10*(AVERAGE('FAO Data A2'!Q87:Q90))</f>
        <v>35.550000000000004</v>
      </c>
      <c r="AH22" s="6">
        <f>10*(AVERAGE('FAO Data A2'!R87:R90))</f>
        <v>438</v>
      </c>
    </row>
    <row r="23" spans="4:34" x14ac:dyDescent="0.25">
      <c r="D23" s="6" t="s">
        <v>289</v>
      </c>
      <c r="E23" s="6">
        <v>0.14899999999999999</v>
      </c>
      <c r="F23" s="6">
        <v>0.63</v>
      </c>
      <c r="G23" s="6">
        <f t="shared" si="12"/>
        <v>226.8</v>
      </c>
      <c r="H23" s="6">
        <f t="shared" si="12"/>
        <v>45.486000000000004</v>
      </c>
      <c r="I23" s="6">
        <f t="shared" si="12"/>
        <v>11.119500000000002</v>
      </c>
      <c r="J23" s="6">
        <f t="shared" si="12"/>
        <v>1.7640000000000002</v>
      </c>
      <c r="K23" s="6">
        <f t="shared" si="12"/>
        <v>13.86</v>
      </c>
      <c r="L23" s="6">
        <f t="shared" si="12"/>
        <v>4.5990000000000002</v>
      </c>
      <c r="M23" s="6">
        <f t="shared" si="12"/>
        <v>355.95</v>
      </c>
      <c r="N23" s="6">
        <f t="shared" si="12"/>
        <v>9.5444999999999993</v>
      </c>
      <c r="O23" s="6">
        <f t="shared" si="12"/>
        <v>140.17500000000001</v>
      </c>
      <c r="P23" s="6">
        <f>$E23*G23</f>
        <v>33.793199999999999</v>
      </c>
      <c r="Q23" s="6">
        <f t="shared" si="13"/>
        <v>6.7774140000000003</v>
      </c>
      <c r="R23" s="6">
        <f t="shared" si="14"/>
        <v>1.6568055000000002</v>
      </c>
      <c r="S23" s="6">
        <f t="shared" si="15"/>
        <v>0.26283600000000001</v>
      </c>
      <c r="T23" s="6">
        <f t="shared" si="16"/>
        <v>2.06514</v>
      </c>
      <c r="U23" s="6">
        <f t="shared" si="17"/>
        <v>0.68525100000000005</v>
      </c>
      <c r="V23" s="6">
        <f t="shared" si="18"/>
        <v>53.036549999999998</v>
      </c>
      <c r="W23" s="6">
        <f t="shared" si="19"/>
        <v>1.4221304999999997</v>
      </c>
      <c r="X23" s="6">
        <f t="shared" si="20"/>
        <v>20.886075000000002</v>
      </c>
      <c r="Z23" s="6">
        <f>10*(AVERAGE('FAO Data A2'!J55:J58))</f>
        <v>360</v>
      </c>
      <c r="AA23" s="6">
        <f>10*(AVERAGE('FAO Data A2'!K55:K58))</f>
        <v>72.2</v>
      </c>
      <c r="AB23" s="6">
        <f>10*(AVERAGE('FAO Data A2'!L55:L58))</f>
        <v>17.650000000000002</v>
      </c>
      <c r="AC23" s="6">
        <f>10*(AVERAGE('FAO Data A2'!M55:M58))</f>
        <v>2.8000000000000003</v>
      </c>
      <c r="AD23" s="6">
        <f>10*(AVERAGE('FAO Data A2'!N55:N58))</f>
        <v>22</v>
      </c>
      <c r="AE23" s="6">
        <f>10*(AVERAGE('FAO Data A2'!O55:O58))</f>
        <v>7.3000000000000007</v>
      </c>
      <c r="AF23" s="6">
        <f>10*(AVERAGE('FAO Data A2'!P55:P58))</f>
        <v>565</v>
      </c>
      <c r="AG23" s="6">
        <f>10*(AVERAGE('FAO Data A2'!Q55:Q58))</f>
        <v>15.149999999999999</v>
      </c>
      <c r="AH23" s="6">
        <f>10*(AVERAGE('FAO Data A2'!R55:R58))</f>
        <v>222.5</v>
      </c>
    </row>
    <row r="24" spans="4:34" x14ac:dyDescent="0.25">
      <c r="D24" s="6" t="s">
        <v>290</v>
      </c>
      <c r="E24" s="6">
        <v>0.24399999999999999</v>
      </c>
      <c r="F24" s="6">
        <v>0.48</v>
      </c>
      <c r="G24" s="6">
        <f t="shared" si="12"/>
        <v>432</v>
      </c>
      <c r="H24" s="6">
        <f t="shared" si="12"/>
        <v>103.41600000000001</v>
      </c>
      <c r="I24" s="6">
        <f t="shared" si="12"/>
        <v>5.976</v>
      </c>
      <c r="J24" s="6">
        <f t="shared" si="12"/>
        <v>1.4880000000000002</v>
      </c>
      <c r="K24" s="6">
        <f t="shared" si="12"/>
        <v>8.64</v>
      </c>
      <c r="L24" s="6">
        <f t="shared" si="12"/>
        <v>3.984</v>
      </c>
      <c r="M24" s="6">
        <f t="shared" si="12"/>
        <v>38.4</v>
      </c>
      <c r="N24" s="6">
        <f t="shared" si="12"/>
        <v>2.7839999999999998</v>
      </c>
      <c r="O24" s="6">
        <f t="shared" si="12"/>
        <v>431.64</v>
      </c>
      <c r="P24" s="6">
        <f>$E24*G24</f>
        <v>105.408</v>
      </c>
      <c r="Q24" s="6">
        <f t="shared" si="13"/>
        <v>25.233504000000003</v>
      </c>
      <c r="R24" s="6">
        <f t="shared" si="14"/>
        <v>1.4581439999999999</v>
      </c>
      <c r="S24" s="6">
        <f t="shared" si="15"/>
        <v>0.36307200000000006</v>
      </c>
      <c r="T24" s="6">
        <f t="shared" si="16"/>
        <v>2.1081600000000003</v>
      </c>
      <c r="U24" s="6">
        <f t="shared" si="17"/>
        <v>0.97209599999999996</v>
      </c>
      <c r="V24" s="6">
        <f t="shared" si="18"/>
        <v>9.3696000000000002</v>
      </c>
      <c r="W24" s="6">
        <f t="shared" si="19"/>
        <v>0.6792959999999999</v>
      </c>
      <c r="X24" s="6">
        <f t="shared" si="20"/>
        <v>105.32016</v>
      </c>
      <c r="Z24" s="6">
        <f>10*(AVERAGE('FAO Data A2'!J51:J54))</f>
        <v>900</v>
      </c>
      <c r="AA24" s="6">
        <f>10*(AVERAGE('FAO Data A2'!K51:K54))</f>
        <v>215.45000000000002</v>
      </c>
      <c r="AB24" s="6">
        <f>10*(AVERAGE('FAO Data A2'!L51:L54))</f>
        <v>12.450000000000001</v>
      </c>
      <c r="AC24" s="6">
        <f>10*(AVERAGE('FAO Data A2'!M51:M54))</f>
        <v>3.1000000000000005</v>
      </c>
      <c r="AD24" s="6">
        <f>10*(AVERAGE('FAO Data A2'!N51:N54))</f>
        <v>18</v>
      </c>
      <c r="AE24" s="6">
        <f>10*(AVERAGE('FAO Data A2'!O51:O54))</f>
        <v>8.3000000000000007</v>
      </c>
      <c r="AF24" s="6">
        <f>10*(AVERAGE('FAO Data A2'!P51:P54))</f>
        <v>80</v>
      </c>
      <c r="AG24" s="6">
        <f>10*(AVERAGE('FAO Data A2'!Q51:Q54))</f>
        <v>5.8</v>
      </c>
      <c r="AH24" s="6">
        <f>10*(AVERAGE('FAO Data A2'!R51:R54))</f>
        <v>899.25</v>
      </c>
    </row>
    <row r="25" spans="4:34" x14ac:dyDescent="0.25">
      <c r="D25" s="7" t="s">
        <v>291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Z25" s="11"/>
      <c r="AA25" s="12"/>
      <c r="AB25" s="12"/>
      <c r="AC25" s="12"/>
      <c r="AD25" s="12"/>
      <c r="AE25" s="12"/>
      <c r="AF25" s="12"/>
      <c r="AG25" s="12"/>
      <c r="AH25" s="13"/>
    </row>
    <row r="26" spans="4:34" x14ac:dyDescent="0.25">
      <c r="D26" s="6" t="s">
        <v>292</v>
      </c>
      <c r="E26" s="6">
        <v>0.8</v>
      </c>
      <c r="F26" s="6">
        <v>0.08</v>
      </c>
      <c r="G26" s="6">
        <f t="shared" ref="G26:O28" si="21">$F26*Z26</f>
        <v>337.6</v>
      </c>
      <c r="H26" s="6">
        <f t="shared" si="21"/>
        <v>56.930666666666674</v>
      </c>
      <c r="I26" s="6">
        <f t="shared" si="21"/>
        <v>7.3360000000000003</v>
      </c>
      <c r="J26" s="6">
        <f t="shared" si="21"/>
        <v>8.3493333333333322</v>
      </c>
      <c r="K26" s="6">
        <f t="shared" si="21"/>
        <v>1.36</v>
      </c>
      <c r="L26" s="6">
        <f t="shared" si="21"/>
        <v>1.2666666666666666</v>
      </c>
      <c r="M26" s="6">
        <f t="shared" si="21"/>
        <v>113.2</v>
      </c>
      <c r="N26" s="6">
        <f t="shared" si="21"/>
        <v>2.1120000000000001</v>
      </c>
      <c r="O26" s="6">
        <f t="shared" si="21"/>
        <v>0.08</v>
      </c>
      <c r="P26" s="6">
        <f>$E26*G26</f>
        <v>270.08000000000004</v>
      </c>
      <c r="Q26" s="6">
        <f t="shared" ref="Q26:Q28" si="22">$E26*H26</f>
        <v>45.544533333333341</v>
      </c>
      <c r="R26" s="6">
        <f t="shared" ref="R26:R28" si="23">$E26*I26</f>
        <v>5.8688000000000002</v>
      </c>
      <c r="S26" s="6">
        <f t="shared" ref="S26:S28" si="24">$E26*J26</f>
        <v>6.6794666666666664</v>
      </c>
      <c r="T26" s="6">
        <f t="shared" ref="T26:T28" si="25">$E26*K26</f>
        <v>1.0880000000000001</v>
      </c>
      <c r="U26" s="6">
        <f t="shared" ref="U26:U28" si="26">$E26*L26</f>
        <v>1.0133333333333334</v>
      </c>
      <c r="V26" s="6">
        <f t="shared" ref="V26:V28" si="27">$E26*M26</f>
        <v>90.56</v>
      </c>
      <c r="W26" s="6">
        <f t="shared" ref="W26:W28" si="28">$E26*N26</f>
        <v>1.6896000000000002</v>
      </c>
      <c r="X26" s="6">
        <f t="shared" ref="X26:X28" si="29">$E26*O26</f>
        <v>6.4000000000000001E-2</v>
      </c>
      <c r="Z26" s="6">
        <f>10*(AVERAGE('FAO Data A2'!J63:J66))</f>
        <v>4220</v>
      </c>
      <c r="AA26" s="6">
        <f>10*(AVERAGE('FAO Data A2'!K63:K66))</f>
        <v>711.63333333333344</v>
      </c>
      <c r="AB26" s="6">
        <f>10*(AVERAGE('FAO Data A2'!L63:L66))</f>
        <v>91.7</v>
      </c>
      <c r="AC26" s="6">
        <f>10*(AVERAGE('FAO Data A2'!M63:M66))</f>
        <v>104.36666666666666</v>
      </c>
      <c r="AD26" s="6">
        <f>10*(AVERAGE('FAO Data A2'!N63:N66))</f>
        <v>17</v>
      </c>
      <c r="AE26" s="6">
        <f>10*(AVERAGE('FAO Data A2'!O63:O66))</f>
        <v>15.833333333333332</v>
      </c>
      <c r="AF26" s="6">
        <f>10*(AVERAGE('FAO Data A2'!P63:P66))</f>
        <v>1415</v>
      </c>
      <c r="AG26" s="6">
        <f>10*(AVERAGE('FAO Data A2'!Q63:Q66))</f>
        <v>26.4</v>
      </c>
      <c r="AH26" s="6">
        <f>10*(AVERAGE('FAO Data A2'!R63:R66))</f>
        <v>1</v>
      </c>
    </row>
    <row r="27" spans="4:34" x14ac:dyDescent="0.25">
      <c r="D27" s="6" t="s">
        <v>293</v>
      </c>
      <c r="E27" s="6">
        <v>0.13</v>
      </c>
      <c r="F27" s="6">
        <v>1.55</v>
      </c>
      <c r="G27" s="6">
        <f t="shared" si="21"/>
        <v>5745.3333333333339</v>
      </c>
      <c r="H27" s="6">
        <f t="shared" si="21"/>
        <v>1482.8333333333335</v>
      </c>
      <c r="I27" s="6">
        <f t="shared" si="21"/>
        <v>0</v>
      </c>
      <c r="J27" s="6">
        <f t="shared" si="21"/>
        <v>0</v>
      </c>
      <c r="K27" s="6">
        <f t="shared" si="21"/>
        <v>0</v>
      </c>
      <c r="L27" s="6">
        <f t="shared" si="21"/>
        <v>13.484999999999999</v>
      </c>
      <c r="M27" s="6">
        <f t="shared" si="21"/>
        <v>38.75</v>
      </c>
      <c r="N27" s="6">
        <f t="shared" si="21"/>
        <v>0.77500000000000002</v>
      </c>
      <c r="O27" s="6">
        <f t="shared" si="21"/>
        <v>0</v>
      </c>
      <c r="P27" s="6">
        <f>$E27*G27</f>
        <v>746.89333333333343</v>
      </c>
      <c r="Q27" s="6">
        <f t="shared" si="22"/>
        <v>192.76833333333337</v>
      </c>
      <c r="R27" s="6">
        <f t="shared" si="23"/>
        <v>0</v>
      </c>
      <c r="S27" s="6">
        <f t="shared" si="24"/>
        <v>0</v>
      </c>
      <c r="T27" s="6">
        <f t="shared" si="25"/>
        <v>0</v>
      </c>
      <c r="U27" s="6">
        <f t="shared" si="26"/>
        <v>1.75305</v>
      </c>
      <c r="V27" s="6">
        <f t="shared" si="27"/>
        <v>5.0375000000000005</v>
      </c>
      <c r="W27" s="6">
        <f t="shared" si="28"/>
        <v>0.10075000000000001</v>
      </c>
      <c r="X27" s="6">
        <f t="shared" si="29"/>
        <v>0</v>
      </c>
      <c r="Z27" s="6">
        <f>10*(AVERAGE('FAO Data A2'!J79:J82))</f>
        <v>3706.666666666667</v>
      </c>
      <c r="AA27" s="6">
        <f>10*(AVERAGE('FAO Data A2'!K79:K82))</f>
        <v>956.66666666666674</v>
      </c>
      <c r="AB27" s="6">
        <f>10*(AVERAGE('FAO Data A2'!L79:L82))</f>
        <v>0</v>
      </c>
      <c r="AC27" s="6">
        <f>10*(AVERAGE('FAO Data A2'!M79:M82))</f>
        <v>0</v>
      </c>
      <c r="AD27" s="6">
        <f>10*(AVERAGE('FAO Data A2'!N79:N82))</f>
        <v>0</v>
      </c>
      <c r="AE27" s="6">
        <f>10*(AVERAGE('FAO Data A2'!O79:O82))</f>
        <v>8.6999999999999993</v>
      </c>
      <c r="AF27" s="6">
        <f>10*(AVERAGE('FAO Data A2'!P79:P82))</f>
        <v>25</v>
      </c>
      <c r="AG27" s="6">
        <f>10*(AVERAGE('FAO Data A2'!Q79:Q82))</f>
        <v>0.5</v>
      </c>
      <c r="AH27" s="6">
        <f>10*(AVERAGE('FAO Data A2'!R79:R82))</f>
        <v>0</v>
      </c>
    </row>
    <row r="28" spans="4:34" x14ac:dyDescent="0.25">
      <c r="D28" s="6" t="s">
        <v>294</v>
      </c>
      <c r="E28" s="6">
        <v>9.8000000000000004E-2</v>
      </c>
      <c r="F28" s="6">
        <v>0.89</v>
      </c>
      <c r="G28" s="6">
        <f t="shared" si="21"/>
        <v>5776.1</v>
      </c>
      <c r="H28" s="6">
        <f t="shared" si="21"/>
        <v>8.3659999999999997</v>
      </c>
      <c r="I28" s="6">
        <f t="shared" si="21"/>
        <v>11.23625</v>
      </c>
      <c r="J28" s="6">
        <f t="shared" si="21"/>
        <v>636.26099999999997</v>
      </c>
      <c r="K28" s="6">
        <f t="shared" si="21"/>
        <v>0</v>
      </c>
      <c r="L28" s="6">
        <f t="shared" si="21"/>
        <v>2.7590000000000003</v>
      </c>
      <c r="M28" s="6">
        <f t="shared" si="21"/>
        <v>316.24666666666667</v>
      </c>
      <c r="N28" s="6">
        <f t="shared" si="21"/>
        <v>11.925999999999998</v>
      </c>
      <c r="O28" s="6">
        <f t="shared" si="21"/>
        <v>0.71200000000000008</v>
      </c>
      <c r="P28" s="6">
        <f>$E28*G28</f>
        <v>566.05780000000004</v>
      </c>
      <c r="Q28" s="6">
        <f t="shared" si="22"/>
        <v>0.81986800000000004</v>
      </c>
      <c r="R28" s="6">
        <f t="shared" si="23"/>
        <v>1.1011525</v>
      </c>
      <c r="S28" s="6">
        <f t="shared" si="24"/>
        <v>62.353577999999999</v>
      </c>
      <c r="T28" s="6">
        <f t="shared" si="25"/>
        <v>0</v>
      </c>
      <c r="U28" s="6">
        <f t="shared" si="26"/>
        <v>0.27038200000000007</v>
      </c>
      <c r="V28" s="6">
        <f t="shared" si="27"/>
        <v>30.992173333333334</v>
      </c>
      <c r="W28" s="6">
        <f t="shared" si="28"/>
        <v>1.1687479999999999</v>
      </c>
      <c r="X28" s="6">
        <f t="shared" si="29"/>
        <v>6.9776000000000005E-2</v>
      </c>
      <c r="Z28" s="6">
        <f>10*(AVERAGE('FAO Data A2'!J83:J86))</f>
        <v>6490</v>
      </c>
      <c r="AA28" s="6">
        <f>10*(AVERAGE('FAO Data A2'!K83:K86))</f>
        <v>9.4</v>
      </c>
      <c r="AB28" s="6">
        <f>10*(AVERAGE('FAO Data A2'!L83:L86))</f>
        <v>12.625</v>
      </c>
      <c r="AC28" s="6">
        <f>10*(AVERAGE('FAO Data A2'!M83:M86))</f>
        <v>714.9</v>
      </c>
      <c r="AD28" s="6">
        <f>10*(AVERAGE('FAO Data A2'!N83:N86))</f>
        <v>0</v>
      </c>
      <c r="AE28" s="6">
        <f>10*(AVERAGE('FAO Data A2'!O83:O86))</f>
        <v>3.1</v>
      </c>
      <c r="AF28" s="6">
        <f>10*(AVERAGE('FAO Data A2'!P83:P86))</f>
        <v>355.33333333333331</v>
      </c>
      <c r="AG28" s="6">
        <f>10*(AVERAGE('FAO Data A2'!Q83:Q86))</f>
        <v>13.399999999999999</v>
      </c>
      <c r="AH28" s="6">
        <f>10*(AVERAGE('FAO Data A2'!R83:R86))</f>
        <v>0.8</v>
      </c>
    </row>
  </sheetData>
  <mergeCells count="10">
    <mergeCell ref="Z25:AH25"/>
    <mergeCell ref="F5:O5"/>
    <mergeCell ref="P5:X5"/>
    <mergeCell ref="Z5:AH5"/>
    <mergeCell ref="D4:X4"/>
    <mergeCell ref="E7:X7"/>
    <mergeCell ref="E12:X12"/>
    <mergeCell ref="Z7:AH7"/>
    <mergeCell ref="Z12:AH12"/>
    <mergeCell ref="Z20:AH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6B9D-E22F-4BEE-A78E-EE1D32429516}">
  <dimension ref="D4:AH28"/>
  <sheetViews>
    <sheetView tabSelected="1" zoomScale="70" zoomScaleNormal="70" workbookViewId="0">
      <selection activeCell="R33" sqref="R33"/>
    </sheetView>
  </sheetViews>
  <sheetFormatPr defaultRowHeight="15" x14ac:dyDescent="0.25"/>
  <sheetData>
    <row r="4" spans="4:34" x14ac:dyDescent="0.25">
      <c r="D4" s="17" t="s">
        <v>300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4:34" x14ac:dyDescent="0.25">
      <c r="D5" s="6"/>
      <c r="E5" s="6"/>
      <c r="F5" s="14" t="s">
        <v>274</v>
      </c>
      <c r="G5" s="14"/>
      <c r="H5" s="14"/>
      <c r="I5" s="14"/>
      <c r="J5" s="14"/>
      <c r="K5" s="14"/>
      <c r="L5" s="14"/>
      <c r="M5" s="14"/>
      <c r="N5" s="14"/>
      <c r="O5" s="14"/>
      <c r="P5" s="15" t="s">
        <v>275</v>
      </c>
      <c r="Q5" s="15"/>
      <c r="R5" s="15"/>
      <c r="S5" s="15"/>
      <c r="T5" s="15"/>
      <c r="U5" s="15"/>
      <c r="V5" s="15"/>
      <c r="W5" s="15"/>
      <c r="X5" s="15"/>
      <c r="Z5" s="16" t="s">
        <v>299</v>
      </c>
      <c r="AA5" s="16"/>
      <c r="AB5" s="16"/>
      <c r="AC5" s="16"/>
      <c r="AD5" s="16"/>
      <c r="AE5" s="16"/>
      <c r="AF5" s="16"/>
      <c r="AG5" s="16"/>
      <c r="AH5" s="16"/>
    </row>
    <row r="6" spans="4:34" x14ac:dyDescent="0.25">
      <c r="D6" s="6" t="s">
        <v>269</v>
      </c>
      <c r="E6" s="6" t="s">
        <v>270</v>
      </c>
      <c r="F6" s="8" t="s">
        <v>271</v>
      </c>
      <c r="G6" s="8" t="s">
        <v>272</v>
      </c>
      <c r="H6" s="8" t="s">
        <v>273</v>
      </c>
      <c r="I6" s="8" t="s">
        <v>5</v>
      </c>
      <c r="J6" s="8" t="s">
        <v>6</v>
      </c>
      <c r="K6" s="8" t="s">
        <v>36</v>
      </c>
      <c r="L6" s="8" t="s">
        <v>37</v>
      </c>
      <c r="M6" s="8" t="s">
        <v>41</v>
      </c>
      <c r="N6" s="8" t="s">
        <v>42</v>
      </c>
      <c r="O6" s="8" t="s">
        <v>30</v>
      </c>
      <c r="P6" s="9" t="s">
        <v>272</v>
      </c>
      <c r="Q6" s="9" t="s">
        <v>273</v>
      </c>
      <c r="R6" s="9" t="s">
        <v>5</v>
      </c>
      <c r="S6" s="9" t="s">
        <v>6</v>
      </c>
      <c r="T6" s="9" t="s">
        <v>36</v>
      </c>
      <c r="U6" s="9" t="s">
        <v>37</v>
      </c>
      <c r="V6" s="9" t="s">
        <v>41</v>
      </c>
      <c r="W6" s="9" t="s">
        <v>42</v>
      </c>
      <c r="X6" s="9" t="s">
        <v>30</v>
      </c>
      <c r="Z6" s="10" t="s">
        <v>272</v>
      </c>
      <c r="AA6" s="10" t="s">
        <v>273</v>
      </c>
      <c r="AB6" s="10" t="s">
        <v>5</v>
      </c>
      <c r="AC6" s="10" t="s">
        <v>6</v>
      </c>
      <c r="AD6" s="10" t="s">
        <v>36</v>
      </c>
      <c r="AE6" s="10" t="s">
        <v>37</v>
      </c>
      <c r="AF6" s="10" t="s">
        <v>41</v>
      </c>
      <c r="AG6" s="10" t="s">
        <v>42</v>
      </c>
      <c r="AH6" s="10" t="s">
        <v>30</v>
      </c>
    </row>
    <row r="7" spans="4:34" x14ac:dyDescent="0.25">
      <c r="D7" s="7" t="s">
        <v>280</v>
      </c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  <c r="Z7" s="11"/>
      <c r="AA7" s="12"/>
      <c r="AB7" s="12"/>
      <c r="AC7" s="12"/>
      <c r="AD7" s="12"/>
      <c r="AE7" s="12"/>
      <c r="AF7" s="12"/>
      <c r="AG7" s="12"/>
      <c r="AH7" s="13"/>
    </row>
    <row r="8" spans="4:34" x14ac:dyDescent="0.25">
      <c r="D8" s="6" t="s">
        <v>276</v>
      </c>
      <c r="E8" s="6">
        <v>1.9E-2</v>
      </c>
      <c r="F8" s="6">
        <v>15.36</v>
      </c>
      <c r="G8" s="6">
        <f t="shared" ref="G8:O11" si="0">$F8*Z8</f>
        <v>45427.199999999997</v>
      </c>
      <c r="H8" s="6">
        <f t="shared" si="0"/>
        <v>9158.7839999999997</v>
      </c>
      <c r="I8" s="6">
        <f t="shared" si="0"/>
        <v>1195.0079999999998</v>
      </c>
      <c r="J8" s="6">
        <f t="shared" si="0"/>
        <v>576.76799999999992</v>
      </c>
      <c r="K8" s="6">
        <f t="shared" si="0"/>
        <v>1131.52</v>
      </c>
      <c r="L8" s="6">
        <f t="shared" si="0"/>
        <v>165.12</v>
      </c>
      <c r="M8" s="6">
        <f t="shared" si="0"/>
        <v>1459.2</v>
      </c>
      <c r="N8" s="6">
        <f t="shared" si="0"/>
        <v>455.42399999999998</v>
      </c>
      <c r="O8" s="6">
        <f t="shared" si="0"/>
        <v>652.79999999999995</v>
      </c>
      <c r="P8" s="6">
        <f>$E8*G8</f>
        <v>863.1167999999999</v>
      </c>
      <c r="Q8" s="6">
        <f t="shared" ref="Q8:X11" si="1">$E8*H8</f>
        <v>174.016896</v>
      </c>
      <c r="R8" s="6">
        <f t="shared" si="1"/>
        <v>22.705151999999995</v>
      </c>
      <c r="S8" s="6">
        <f t="shared" si="1"/>
        <v>10.958591999999998</v>
      </c>
      <c r="T8" s="6">
        <f t="shared" si="1"/>
        <v>21.49888</v>
      </c>
      <c r="U8" s="6">
        <f t="shared" si="1"/>
        <v>3.1372800000000001</v>
      </c>
      <c r="V8" s="6">
        <f t="shared" si="1"/>
        <v>27.724800000000002</v>
      </c>
      <c r="W8" s="6">
        <f t="shared" si="1"/>
        <v>8.6530559999999994</v>
      </c>
      <c r="X8" s="6">
        <f t="shared" si="1"/>
        <v>12.403199999999998</v>
      </c>
      <c r="Z8" s="6">
        <f>10*(AVERAGE('FAO Data A2'!J27:J30))</f>
        <v>2957.5</v>
      </c>
      <c r="AA8" s="6">
        <f>10*(AVERAGE('FAO Data A2'!K27:K30))</f>
        <v>596.27499999999998</v>
      </c>
      <c r="AB8" s="6">
        <f>10*(AVERAGE('FAO Data A2'!L27:L30))</f>
        <v>77.8</v>
      </c>
      <c r="AC8" s="6">
        <f>10*(AVERAGE('FAO Data A2'!M27:M30))</f>
        <v>37.549999999999997</v>
      </c>
      <c r="AD8" s="6">
        <f>10*(AVERAGE('FAO Data A2'!N27:N30))</f>
        <v>73.666666666666671</v>
      </c>
      <c r="AE8" s="6">
        <f>10*(AVERAGE('FAO Data A2'!O27:O30))</f>
        <v>10.75</v>
      </c>
      <c r="AF8" s="6">
        <f>10*(AVERAGE('FAO Data A2'!P27:P30))</f>
        <v>95</v>
      </c>
      <c r="AG8" s="6">
        <f>10*(AVERAGE('FAO Data A2'!Q27:Q30))</f>
        <v>29.65</v>
      </c>
      <c r="AH8" s="6">
        <f>10*(AVERAGE('FAO Data A2'!R27:R30))</f>
        <v>42.5</v>
      </c>
    </row>
    <row r="9" spans="4:34" x14ac:dyDescent="0.25">
      <c r="D9" s="6" t="s">
        <v>277</v>
      </c>
      <c r="E9" s="6">
        <v>0.157</v>
      </c>
      <c r="F9" s="6">
        <v>0.55000000000000004</v>
      </c>
      <c r="G9" s="6">
        <f t="shared" si="0"/>
        <v>1980.0000000000002</v>
      </c>
      <c r="H9" s="6">
        <f t="shared" si="0"/>
        <v>438.26750000000004</v>
      </c>
      <c r="I9" s="6">
        <f t="shared" si="0"/>
        <v>37.908750000000005</v>
      </c>
      <c r="J9" s="6">
        <f t="shared" si="0"/>
        <v>2.9562500000000003</v>
      </c>
      <c r="K9" s="6">
        <f t="shared" si="0"/>
        <v>3.850000000000001</v>
      </c>
      <c r="L9" s="6">
        <f t="shared" si="0"/>
        <v>3.0662500000000001</v>
      </c>
      <c r="M9" s="6">
        <f t="shared" si="0"/>
        <v>83.1875</v>
      </c>
      <c r="N9" s="6">
        <f t="shared" si="0"/>
        <v>6.36625</v>
      </c>
      <c r="O9" s="6">
        <f t="shared" si="0"/>
        <v>0</v>
      </c>
      <c r="P9" s="6">
        <f>$E9*G9</f>
        <v>310.86</v>
      </c>
      <c r="Q9" s="6">
        <f t="shared" si="1"/>
        <v>68.807997500000013</v>
      </c>
      <c r="R9" s="6">
        <f t="shared" si="1"/>
        <v>5.9516737500000012</v>
      </c>
      <c r="S9" s="6">
        <f t="shared" si="1"/>
        <v>0.46413125000000005</v>
      </c>
      <c r="T9" s="6">
        <f t="shared" si="1"/>
        <v>0.60445000000000015</v>
      </c>
      <c r="U9" s="6">
        <f t="shared" si="1"/>
        <v>0.48140125</v>
      </c>
      <c r="V9" s="6">
        <f t="shared" si="1"/>
        <v>13.060437500000001</v>
      </c>
      <c r="W9" s="6">
        <f t="shared" si="1"/>
        <v>0.99950125000000001</v>
      </c>
      <c r="X9" s="6">
        <f t="shared" si="1"/>
        <v>0</v>
      </c>
      <c r="Z9" s="6">
        <f>10*(AVERAGE('FAO Data A2'!J35:J38))</f>
        <v>3600</v>
      </c>
      <c r="AA9" s="6">
        <f>10*(AVERAGE('FAO Data A2'!K35:K38))</f>
        <v>796.85</v>
      </c>
      <c r="AB9" s="6">
        <f>10*(AVERAGE('FAO Data A2'!L35:L38))</f>
        <v>68.924999999999997</v>
      </c>
      <c r="AC9" s="6">
        <f>10*(AVERAGE('FAO Data A2'!M35:M38))</f>
        <v>5.375</v>
      </c>
      <c r="AD9" s="6">
        <f>10*(AVERAGE('FAO Data A2'!N35:N38))</f>
        <v>7.0000000000000009</v>
      </c>
      <c r="AE9" s="6">
        <f>10*(AVERAGE('FAO Data A2'!O35:O38))</f>
        <v>5.5750000000000002</v>
      </c>
      <c r="AF9" s="6">
        <f>10*(AVERAGE('FAO Data A2'!P35:P38))</f>
        <v>151.25</v>
      </c>
      <c r="AG9" s="6">
        <f>10*(AVERAGE('FAO Data A2'!Q35:Q38))</f>
        <v>11.574999999999999</v>
      </c>
      <c r="AH9" s="6">
        <f>10*(AVERAGE('FAO Data A2'!R35:R38))</f>
        <v>0</v>
      </c>
    </row>
    <row r="10" spans="4:34" x14ac:dyDescent="0.25">
      <c r="D10" s="6" t="s">
        <v>278</v>
      </c>
      <c r="E10" s="6">
        <v>0.32200000000000001</v>
      </c>
      <c r="F10" s="6">
        <v>0.26</v>
      </c>
      <c r="G10" s="6">
        <f t="shared" si="0"/>
        <v>719.55000000000007</v>
      </c>
      <c r="H10" s="6">
        <f t="shared" si="0"/>
        <v>131.28699999999998</v>
      </c>
      <c r="I10" s="6">
        <f t="shared" si="0"/>
        <v>23.803000000000004</v>
      </c>
      <c r="J10" s="6">
        <f t="shared" si="0"/>
        <v>9.2646666666666686</v>
      </c>
      <c r="K10" s="6">
        <f t="shared" si="0"/>
        <v>7.4533333333333349</v>
      </c>
      <c r="L10" s="6">
        <f t="shared" si="0"/>
        <v>4.9139999999999997</v>
      </c>
      <c r="M10" s="6">
        <f t="shared" si="0"/>
        <v>246.35</v>
      </c>
      <c r="N10" s="6">
        <f t="shared" si="0"/>
        <v>26.806000000000004</v>
      </c>
      <c r="O10" s="6">
        <f t="shared" si="0"/>
        <v>0</v>
      </c>
      <c r="P10" s="6">
        <f>$E10*G10</f>
        <v>231.69510000000002</v>
      </c>
      <c r="Q10" s="6">
        <f t="shared" si="1"/>
        <v>42.274413999999993</v>
      </c>
      <c r="R10" s="6">
        <f t="shared" si="1"/>
        <v>7.6645660000000015</v>
      </c>
      <c r="S10" s="6">
        <f t="shared" si="1"/>
        <v>2.9832226666666672</v>
      </c>
      <c r="T10" s="6">
        <f t="shared" si="1"/>
        <v>2.399973333333334</v>
      </c>
      <c r="U10" s="6">
        <f t="shared" si="1"/>
        <v>1.582308</v>
      </c>
      <c r="V10" s="6">
        <f t="shared" si="1"/>
        <v>79.324700000000007</v>
      </c>
      <c r="W10" s="6">
        <f t="shared" si="1"/>
        <v>8.6315320000000018</v>
      </c>
      <c r="X10" s="6">
        <f t="shared" si="1"/>
        <v>0</v>
      </c>
      <c r="Z10" s="6">
        <f>10*(AVERAGE('FAO Data A2'!J31:J34))</f>
        <v>2767.5</v>
      </c>
      <c r="AA10" s="6">
        <f>10*(AVERAGE('FAO Data A2'!K31:K34))</f>
        <v>504.94999999999993</v>
      </c>
      <c r="AB10" s="6">
        <f>10*(AVERAGE('FAO Data A2'!L31:L34))</f>
        <v>91.550000000000011</v>
      </c>
      <c r="AC10" s="6">
        <f>10*(AVERAGE('FAO Data A2'!M31:M34))</f>
        <v>35.63333333333334</v>
      </c>
      <c r="AD10" s="6">
        <f>10*(AVERAGE('FAO Data A2'!N31:N34))</f>
        <v>28.666666666666671</v>
      </c>
      <c r="AE10" s="6">
        <f>10*(AVERAGE('FAO Data A2'!O31:O34))</f>
        <v>18.899999999999999</v>
      </c>
      <c r="AF10" s="6">
        <f>10*(AVERAGE('FAO Data A2'!P31:P34))</f>
        <v>947.5</v>
      </c>
      <c r="AG10" s="6">
        <f>10*(AVERAGE('FAO Data A2'!Q31:Q34))</f>
        <v>103.10000000000001</v>
      </c>
      <c r="AH10" s="6">
        <f>10*(AVERAGE('FAO Data A2'!R31:R34))</f>
        <v>0</v>
      </c>
    </row>
    <row r="11" spans="4:34" x14ac:dyDescent="0.25">
      <c r="D11" s="6" t="s">
        <v>279</v>
      </c>
      <c r="E11" s="6">
        <v>0.33600000000000002</v>
      </c>
      <c r="F11" s="6">
        <v>0.51</v>
      </c>
      <c r="G11" s="6">
        <f t="shared" si="0"/>
        <v>388.875</v>
      </c>
      <c r="H11" s="6">
        <f t="shared" si="0"/>
        <v>88.67625000000001</v>
      </c>
      <c r="I11" s="6">
        <f t="shared" si="0"/>
        <v>9.9577500000000008</v>
      </c>
      <c r="J11" s="6">
        <f t="shared" si="0"/>
        <v>1.4917500000000001</v>
      </c>
      <c r="K11" s="6">
        <f t="shared" si="0"/>
        <v>8.4150000000000009</v>
      </c>
      <c r="L11" s="6">
        <f t="shared" si="0"/>
        <v>6.0180000000000007</v>
      </c>
      <c r="M11" s="6">
        <f t="shared" si="0"/>
        <v>63.66075</v>
      </c>
      <c r="N11" s="6">
        <f t="shared" si="0"/>
        <v>6.987000000000001</v>
      </c>
      <c r="O11" s="6">
        <f t="shared" si="0"/>
        <v>106.83224999999999</v>
      </c>
      <c r="P11" s="6">
        <f>$E11*G11</f>
        <v>130.66200000000001</v>
      </c>
      <c r="Q11" s="6">
        <f t="shared" si="1"/>
        <v>29.795220000000004</v>
      </c>
      <c r="R11" s="6">
        <f t="shared" si="1"/>
        <v>3.3458040000000007</v>
      </c>
      <c r="S11" s="6">
        <f t="shared" si="1"/>
        <v>0.50122800000000012</v>
      </c>
      <c r="T11" s="6">
        <f t="shared" si="1"/>
        <v>2.8274400000000006</v>
      </c>
      <c r="U11" s="6">
        <f t="shared" si="1"/>
        <v>2.0220480000000003</v>
      </c>
      <c r="V11" s="6">
        <f t="shared" si="1"/>
        <v>21.390012000000002</v>
      </c>
      <c r="W11" s="6">
        <f t="shared" si="1"/>
        <v>2.3476320000000004</v>
      </c>
      <c r="X11" s="6">
        <f t="shared" si="1"/>
        <v>35.895635999999996</v>
      </c>
      <c r="Z11" s="6">
        <f>10*(AVERAGE('FAO Data A2'!J39:J42))</f>
        <v>762.5</v>
      </c>
      <c r="AA11" s="6">
        <f>10*(AVERAGE('FAO Data A2'!K39:K42))</f>
        <v>173.87500000000003</v>
      </c>
      <c r="AB11" s="6">
        <f>10*(AVERAGE('FAO Data A2'!L39:L42))</f>
        <v>19.525000000000002</v>
      </c>
      <c r="AC11" s="6">
        <f>10*(AVERAGE('FAO Data A2'!M39:M42))</f>
        <v>2.9250000000000003</v>
      </c>
      <c r="AD11" s="6">
        <f>10*(AVERAGE('FAO Data A2'!N39:N42))</f>
        <v>16.5</v>
      </c>
      <c r="AE11" s="6">
        <f>10*(AVERAGE('FAO Data A2'!O39:O42))</f>
        <v>11.8</v>
      </c>
      <c r="AF11" s="6">
        <f>10*(AVERAGE('FAO Data A2'!P39:P42))</f>
        <v>124.825</v>
      </c>
      <c r="AG11" s="6">
        <f>10*(AVERAGE('FAO Data A2'!Q39:Q42))</f>
        <v>13.700000000000001</v>
      </c>
      <c r="AH11" s="6">
        <f>10*(AVERAGE('FAO Data A2'!R39:R42))</f>
        <v>209.47499999999997</v>
      </c>
    </row>
    <row r="12" spans="4:34" x14ac:dyDescent="0.25">
      <c r="D12" s="7" t="s">
        <v>170</v>
      </c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  <c r="Z12" s="11"/>
      <c r="AA12" s="12"/>
      <c r="AB12" s="12"/>
      <c r="AC12" s="12"/>
      <c r="AD12" s="12"/>
      <c r="AE12" s="12"/>
      <c r="AF12" s="12"/>
      <c r="AG12" s="12"/>
      <c r="AH12" s="13"/>
    </row>
    <row r="13" spans="4:34" x14ac:dyDescent="0.25">
      <c r="D13" s="6" t="s">
        <v>281</v>
      </c>
      <c r="E13" s="6">
        <v>0.42499999999999999</v>
      </c>
      <c r="F13" s="6">
        <v>0.45</v>
      </c>
      <c r="G13" s="6">
        <f t="shared" ref="G13:O19" si="2">$F13*Z13</f>
        <v>721.125</v>
      </c>
      <c r="H13" s="6">
        <f t="shared" si="2"/>
        <v>0</v>
      </c>
      <c r="I13" s="6">
        <f t="shared" si="2"/>
        <v>90.61875000000002</v>
      </c>
      <c r="J13" s="6">
        <f t="shared" si="2"/>
        <v>36.213749999999997</v>
      </c>
      <c r="K13" s="6">
        <f t="shared" si="2"/>
        <v>0</v>
      </c>
      <c r="L13" s="6">
        <f t="shared" si="2"/>
        <v>4.3987500000000006</v>
      </c>
      <c r="M13" s="6">
        <f t="shared" si="2"/>
        <v>45.866249999999994</v>
      </c>
      <c r="N13" s="6">
        <f t="shared" si="2"/>
        <v>10.62</v>
      </c>
      <c r="O13" s="6">
        <f t="shared" si="2"/>
        <v>1.125</v>
      </c>
      <c r="P13" s="6">
        <f t="shared" ref="P13:X19" si="3">$E13*G13</f>
        <v>306.47812499999998</v>
      </c>
      <c r="Q13" s="6">
        <f t="shared" si="3"/>
        <v>0</v>
      </c>
      <c r="R13" s="6">
        <f t="shared" si="3"/>
        <v>38.512968750000006</v>
      </c>
      <c r="S13" s="6">
        <f t="shared" si="3"/>
        <v>15.390843749999998</v>
      </c>
      <c r="T13" s="6">
        <f t="shared" si="3"/>
        <v>0</v>
      </c>
      <c r="U13" s="6">
        <f t="shared" si="3"/>
        <v>1.8694687500000002</v>
      </c>
      <c r="V13" s="6">
        <f t="shared" si="3"/>
        <v>19.493156249999998</v>
      </c>
      <c r="W13" s="6">
        <f t="shared" si="3"/>
        <v>4.5134999999999996</v>
      </c>
      <c r="X13" s="6">
        <f t="shared" si="3"/>
        <v>0.47812499999999997</v>
      </c>
      <c r="Z13" s="6">
        <f>10*(AVERAGE('FAO Data A2'!J3:J6))</f>
        <v>1602.5</v>
      </c>
      <c r="AA13" s="6">
        <f>10*(AVERAGE('FAO Data A2'!K3:K6))</f>
        <v>0</v>
      </c>
      <c r="AB13" s="6">
        <f>10*(AVERAGE('FAO Data A2'!L3:L6))</f>
        <v>201.37500000000003</v>
      </c>
      <c r="AC13" s="6">
        <f>10*(AVERAGE('FAO Data A2'!M3:M6))</f>
        <v>80.474999999999994</v>
      </c>
      <c r="AD13" s="6">
        <f>10*(AVERAGE('FAO Data A2'!N3:N6))</f>
        <v>0</v>
      </c>
      <c r="AE13" s="6">
        <f>10*(AVERAGE('FAO Data A2'!O3:O6))</f>
        <v>9.7750000000000004</v>
      </c>
      <c r="AF13" s="6">
        <f>10*(AVERAGE('FAO Data A2'!P3:P6))</f>
        <v>101.92499999999998</v>
      </c>
      <c r="AG13" s="6">
        <f>10*(AVERAGE('FAO Data A2'!Q3:Q6))</f>
        <v>23.599999999999998</v>
      </c>
      <c r="AH13" s="6">
        <f>10*(AVERAGE('FAO Data A2'!R3:R6))</f>
        <v>2.5</v>
      </c>
    </row>
    <row r="14" spans="4:34" x14ac:dyDescent="0.25">
      <c r="D14" s="6" t="s">
        <v>282</v>
      </c>
      <c r="E14" s="6">
        <v>0.191</v>
      </c>
      <c r="F14" s="6">
        <v>0.2</v>
      </c>
      <c r="G14" s="6">
        <f t="shared" si="2"/>
        <v>427</v>
      </c>
      <c r="H14" s="6">
        <f t="shared" si="2"/>
        <v>0</v>
      </c>
      <c r="I14" s="6">
        <f t="shared" si="2"/>
        <v>38.300000000000004</v>
      </c>
      <c r="J14" s="6">
        <f t="shared" si="2"/>
        <v>29.785000000000004</v>
      </c>
      <c r="K14" s="6">
        <f t="shared" si="2"/>
        <v>0</v>
      </c>
      <c r="L14" s="6">
        <f t="shared" si="2"/>
        <v>2.0950000000000002</v>
      </c>
      <c r="M14" s="6">
        <f t="shared" si="2"/>
        <v>12.5</v>
      </c>
      <c r="N14" s="6">
        <f t="shared" si="2"/>
        <v>2.2450000000000006</v>
      </c>
      <c r="O14" s="6">
        <f t="shared" si="2"/>
        <v>0</v>
      </c>
      <c r="P14" s="6">
        <f t="shared" si="3"/>
        <v>81.557000000000002</v>
      </c>
      <c r="Q14" s="6">
        <f t="shared" si="3"/>
        <v>0</v>
      </c>
      <c r="R14" s="6">
        <f t="shared" si="3"/>
        <v>7.3153000000000006</v>
      </c>
      <c r="S14" s="6">
        <f t="shared" si="3"/>
        <v>5.6889350000000007</v>
      </c>
      <c r="T14" s="6">
        <f t="shared" si="3"/>
        <v>0</v>
      </c>
      <c r="U14" s="6">
        <f t="shared" si="3"/>
        <v>0.40014500000000003</v>
      </c>
      <c r="V14" s="6">
        <f t="shared" si="3"/>
        <v>2.3875000000000002</v>
      </c>
      <c r="W14" s="6">
        <f t="shared" si="3"/>
        <v>0.42879500000000009</v>
      </c>
      <c r="X14" s="6">
        <f t="shared" si="3"/>
        <v>0</v>
      </c>
      <c r="Z14" s="6">
        <f>10*(AVERAGE('FAO Data A2'!J7:J10))</f>
        <v>2135</v>
      </c>
      <c r="AA14" s="6">
        <f>10*(AVERAGE('FAO Data A2'!K7:K10))</f>
        <v>0</v>
      </c>
      <c r="AB14" s="6">
        <f>10*(AVERAGE('FAO Data A2'!L7:L10))</f>
        <v>191.50000000000003</v>
      </c>
      <c r="AC14" s="6">
        <f>10*(AVERAGE('FAO Data A2'!M7:M10))</f>
        <v>148.92500000000001</v>
      </c>
      <c r="AD14" s="6">
        <f>10*(AVERAGE('FAO Data A2'!N7:N10))</f>
        <v>0</v>
      </c>
      <c r="AE14" s="6">
        <f>10*(AVERAGE('FAO Data A2'!O7:O10))</f>
        <v>10.475000000000001</v>
      </c>
      <c r="AF14" s="6">
        <f>10*(AVERAGE('FAO Data A2'!P7:P10))</f>
        <v>62.5</v>
      </c>
      <c r="AG14" s="6">
        <f>10*(AVERAGE('FAO Data A2'!Q7:Q10))</f>
        <v>11.225000000000001</v>
      </c>
      <c r="AH14" s="6">
        <f>10*(AVERAGE('FAO Data A2'!R7:R10))</f>
        <v>0</v>
      </c>
    </row>
    <row r="15" spans="4:34" x14ac:dyDescent="0.25">
      <c r="D15" s="6" t="s">
        <v>283</v>
      </c>
      <c r="E15" s="6">
        <v>0.23</v>
      </c>
      <c r="F15" s="6">
        <v>0.23</v>
      </c>
      <c r="G15" s="6">
        <f t="shared" si="2"/>
        <v>408.25</v>
      </c>
      <c r="H15" s="6">
        <f t="shared" si="2"/>
        <v>1.6675</v>
      </c>
      <c r="I15" s="6">
        <f t="shared" si="2"/>
        <v>42.91225</v>
      </c>
      <c r="J15" s="6">
        <f t="shared" si="2"/>
        <v>24.052249999999997</v>
      </c>
      <c r="K15" s="6">
        <f t="shared" si="2"/>
        <v>0</v>
      </c>
      <c r="L15" s="6">
        <f t="shared" si="2"/>
        <v>3.3982500000000004</v>
      </c>
      <c r="M15" s="6">
        <f t="shared" si="2"/>
        <v>25.3</v>
      </c>
      <c r="N15" s="6">
        <f t="shared" si="2"/>
        <v>7.1472500000000005</v>
      </c>
      <c r="O15" s="6">
        <f t="shared" si="2"/>
        <v>0</v>
      </c>
      <c r="P15" s="6">
        <f t="shared" si="3"/>
        <v>93.897500000000008</v>
      </c>
      <c r="Q15" s="6">
        <f t="shared" si="3"/>
        <v>0.383525</v>
      </c>
      <c r="R15" s="6">
        <f t="shared" si="3"/>
        <v>9.8698174999999999</v>
      </c>
      <c r="S15" s="6">
        <f t="shared" si="3"/>
        <v>5.5320174999999994</v>
      </c>
      <c r="T15" s="6">
        <f t="shared" si="3"/>
        <v>0</v>
      </c>
      <c r="U15" s="6">
        <f t="shared" si="3"/>
        <v>0.78159750000000017</v>
      </c>
      <c r="V15" s="6">
        <f t="shared" si="3"/>
        <v>5.8190000000000008</v>
      </c>
      <c r="W15" s="6">
        <f t="shared" si="3"/>
        <v>1.6438675000000003</v>
      </c>
      <c r="X15" s="6">
        <f t="shared" si="3"/>
        <v>0</v>
      </c>
      <c r="Z15" s="6">
        <f>10*(AVERAGE('FAO Data A2'!J59:J62))</f>
        <v>1775</v>
      </c>
      <c r="AA15" s="6">
        <f>10*(AVERAGE('FAO Data A2'!K59:K62))</f>
        <v>7.25</v>
      </c>
      <c r="AB15" s="6">
        <f>10*(AVERAGE('FAO Data A2'!L59:L62))</f>
        <v>186.57499999999999</v>
      </c>
      <c r="AC15" s="6">
        <f>10*(AVERAGE('FAO Data A2'!M59:M62))</f>
        <v>104.57499999999999</v>
      </c>
      <c r="AD15" s="6">
        <f>10*(AVERAGE('FAO Data A2'!N59:N62))</f>
        <v>0</v>
      </c>
      <c r="AE15" s="6">
        <f>10*(AVERAGE('FAO Data A2'!O59:O62))</f>
        <v>14.775</v>
      </c>
      <c r="AF15" s="6">
        <f>10*(AVERAGE('FAO Data A2'!P59:P62))</f>
        <v>110</v>
      </c>
      <c r="AG15" s="6">
        <f>10*(AVERAGE('FAO Data A2'!Q59:Q62))</f>
        <v>31.074999999999999</v>
      </c>
      <c r="AH15" s="6">
        <f>10*(AVERAGE('FAO Data A2'!R59:R62))</f>
        <v>0</v>
      </c>
    </row>
    <row r="16" spans="4:34" x14ac:dyDescent="0.25">
      <c r="D16" s="6" t="s">
        <v>284</v>
      </c>
      <c r="E16" s="6">
        <v>6.9000000000000006E-2</v>
      </c>
      <c r="F16" s="6">
        <v>0.04</v>
      </c>
      <c r="G16" s="6">
        <f t="shared" si="2"/>
        <v>40.6</v>
      </c>
      <c r="H16" s="6">
        <f t="shared" si="2"/>
        <v>0</v>
      </c>
      <c r="I16" s="6">
        <f t="shared" si="2"/>
        <v>6.7710000000000017</v>
      </c>
      <c r="J16" s="6">
        <f t="shared" si="2"/>
        <v>1.252</v>
      </c>
      <c r="K16" s="6">
        <f t="shared" si="2"/>
        <v>0</v>
      </c>
      <c r="L16" s="6">
        <f t="shared" si="2"/>
        <v>0.42199999999999999</v>
      </c>
      <c r="M16" s="6">
        <f t="shared" si="2"/>
        <v>12.700000000000001</v>
      </c>
      <c r="N16" s="6">
        <f t="shared" si="2"/>
        <v>0.27300000000000002</v>
      </c>
      <c r="O16" s="6">
        <f t="shared" si="2"/>
        <v>0.26666666666666666</v>
      </c>
      <c r="P16" s="6">
        <f t="shared" si="3"/>
        <v>2.8014000000000001</v>
      </c>
      <c r="Q16" s="6">
        <f t="shared" si="3"/>
        <v>0</v>
      </c>
      <c r="R16" s="6">
        <f t="shared" si="3"/>
        <v>0.46719900000000014</v>
      </c>
      <c r="S16" s="6">
        <f t="shared" si="3"/>
        <v>8.6388000000000006E-2</v>
      </c>
      <c r="T16" s="6">
        <f t="shared" si="3"/>
        <v>0</v>
      </c>
      <c r="U16" s="6">
        <f t="shared" si="3"/>
        <v>2.9118000000000002E-2</v>
      </c>
      <c r="V16" s="6">
        <f t="shared" si="3"/>
        <v>0.87630000000000019</v>
      </c>
      <c r="W16" s="6">
        <f t="shared" si="3"/>
        <v>1.8837000000000003E-2</v>
      </c>
      <c r="X16" s="6">
        <f t="shared" si="3"/>
        <v>1.84E-2</v>
      </c>
      <c r="Z16" s="6">
        <f>10*(AVERAGE('FAO Data A2'!J15:J18))</f>
        <v>1015</v>
      </c>
      <c r="AA16" s="6">
        <f>10*(AVERAGE('FAO Data A2'!K15:K18))</f>
        <v>0</v>
      </c>
      <c r="AB16" s="6">
        <f>10*(AVERAGE('FAO Data A2'!L15:L18))</f>
        <v>169.27500000000003</v>
      </c>
      <c r="AC16" s="6">
        <f>10*(AVERAGE('FAO Data A2'!M15:M18))</f>
        <v>31.299999999999997</v>
      </c>
      <c r="AD16" s="6">
        <f>10*(AVERAGE('FAO Data A2'!N15:N18))</f>
        <v>0</v>
      </c>
      <c r="AE16" s="6">
        <f>10*(AVERAGE('FAO Data A2'!O15:O18))</f>
        <v>10.549999999999999</v>
      </c>
      <c r="AF16" s="6">
        <f>10*(AVERAGE('FAO Data A2'!P15:P18))</f>
        <v>317.5</v>
      </c>
      <c r="AG16" s="6">
        <f>10*(AVERAGE('FAO Data A2'!Q15:Q18))</f>
        <v>6.8250000000000002</v>
      </c>
      <c r="AH16" s="6">
        <f>10*(AVERAGE('FAO Data A2'!R15:R18))</f>
        <v>6.6666666666666661</v>
      </c>
    </row>
    <row r="17" spans="4:34" x14ac:dyDescent="0.25">
      <c r="D17" s="6" t="s">
        <v>252</v>
      </c>
      <c r="E17" s="6">
        <v>0.22</v>
      </c>
      <c r="F17" s="6">
        <v>0.85</v>
      </c>
      <c r="G17" s="6">
        <f t="shared" si="2"/>
        <v>1255.875</v>
      </c>
      <c r="H17" s="6">
        <f t="shared" si="2"/>
        <v>16.574999999999996</v>
      </c>
      <c r="I17" s="6">
        <f t="shared" si="2"/>
        <v>105.99499999999999</v>
      </c>
      <c r="J17" s="6">
        <f t="shared" si="2"/>
        <v>83.597500000000011</v>
      </c>
      <c r="K17" s="6">
        <f t="shared" si="2"/>
        <v>0</v>
      </c>
      <c r="L17" s="6">
        <f t="shared" si="2"/>
        <v>8.84</v>
      </c>
      <c r="M17" s="6">
        <f t="shared" si="2"/>
        <v>425.72250000000003</v>
      </c>
      <c r="N17" s="6">
        <f t="shared" si="2"/>
        <v>19.082500000000003</v>
      </c>
      <c r="O17" s="6">
        <f t="shared" si="2"/>
        <v>0</v>
      </c>
      <c r="P17" s="6">
        <f t="shared" si="3"/>
        <v>276.29250000000002</v>
      </c>
      <c r="Q17" s="6">
        <f t="shared" si="3"/>
        <v>3.6464999999999992</v>
      </c>
      <c r="R17" s="6">
        <f t="shared" si="3"/>
        <v>23.318899999999999</v>
      </c>
      <c r="S17" s="6">
        <f t="shared" si="3"/>
        <v>18.391450000000003</v>
      </c>
      <c r="T17" s="6">
        <f t="shared" si="3"/>
        <v>0</v>
      </c>
      <c r="U17" s="6">
        <f t="shared" si="3"/>
        <v>1.9448000000000001</v>
      </c>
      <c r="V17" s="6">
        <f t="shared" si="3"/>
        <v>93.658950000000004</v>
      </c>
      <c r="W17" s="6">
        <f t="shared" si="3"/>
        <v>4.1981500000000009</v>
      </c>
      <c r="X17" s="6">
        <f t="shared" si="3"/>
        <v>0</v>
      </c>
      <c r="Z17" s="6">
        <f>10*(AVERAGE('FAO Data A2'!J19:J22))</f>
        <v>1477.5</v>
      </c>
      <c r="AA17" s="6">
        <f>10*(AVERAGE('FAO Data A2'!K19:K22))</f>
        <v>19.499999999999996</v>
      </c>
      <c r="AB17" s="6">
        <f>10*(AVERAGE('FAO Data A2'!L19:L22))</f>
        <v>124.69999999999999</v>
      </c>
      <c r="AC17" s="6">
        <f>10*(AVERAGE('FAO Data A2'!M19:M22))</f>
        <v>98.350000000000009</v>
      </c>
      <c r="AD17" s="6">
        <f>10*(AVERAGE('FAO Data A2'!N19:N22))</f>
        <v>0</v>
      </c>
      <c r="AE17" s="6">
        <f>10*(AVERAGE('FAO Data A2'!O19:O22))</f>
        <v>10.4</v>
      </c>
      <c r="AF17" s="6">
        <f>10*(AVERAGE('FAO Data A2'!P19:P22))</f>
        <v>500.85</v>
      </c>
      <c r="AG17" s="6">
        <f>10*(AVERAGE('FAO Data A2'!Q19:Q22))</f>
        <v>22.450000000000003</v>
      </c>
      <c r="AH17" s="6">
        <f>10*(AVERAGE('FAO Data A2'!R19:R22))</f>
        <v>0</v>
      </c>
    </row>
    <row r="18" spans="4:34" x14ac:dyDescent="0.25">
      <c r="D18" s="6" t="s">
        <v>285</v>
      </c>
      <c r="E18" s="6">
        <v>0.152</v>
      </c>
      <c r="F18" s="6">
        <v>0.71</v>
      </c>
      <c r="G18" s="6">
        <f t="shared" si="2"/>
        <v>479.25</v>
      </c>
      <c r="H18" s="6">
        <f t="shared" si="2"/>
        <v>33.227999999999994</v>
      </c>
      <c r="I18" s="6">
        <f t="shared" si="2"/>
        <v>23.997999999999998</v>
      </c>
      <c r="J18" s="6">
        <f t="shared" si="2"/>
        <v>31.435249999999993</v>
      </c>
      <c r="K18" s="6">
        <f t="shared" si="2"/>
        <v>0</v>
      </c>
      <c r="L18" s="6">
        <f t="shared" si="2"/>
        <v>5.1297499999999996</v>
      </c>
      <c r="M18" s="6">
        <f t="shared" si="2"/>
        <v>855.69200000000001</v>
      </c>
      <c r="N18" s="6">
        <f t="shared" si="2"/>
        <v>5.8929999999999989</v>
      </c>
      <c r="O18" s="6">
        <f t="shared" si="2"/>
        <v>3.55</v>
      </c>
      <c r="P18" s="6">
        <f t="shared" si="3"/>
        <v>72.846000000000004</v>
      </c>
      <c r="Q18" s="6">
        <f t="shared" si="3"/>
        <v>5.0506559999999991</v>
      </c>
      <c r="R18" s="6">
        <f t="shared" si="3"/>
        <v>3.6476959999999994</v>
      </c>
      <c r="S18" s="6">
        <f t="shared" si="3"/>
        <v>4.7781579999999986</v>
      </c>
      <c r="T18" s="6">
        <f t="shared" si="3"/>
        <v>0</v>
      </c>
      <c r="U18" s="6">
        <f t="shared" si="3"/>
        <v>0.77972199999999992</v>
      </c>
      <c r="V18" s="6">
        <f t="shared" si="3"/>
        <v>130.06518399999999</v>
      </c>
      <c r="W18" s="6">
        <f t="shared" si="3"/>
        <v>0.89573599999999987</v>
      </c>
      <c r="X18" s="6">
        <f t="shared" si="3"/>
        <v>0.53959999999999997</v>
      </c>
      <c r="Z18" s="6">
        <f>10*(AVERAGE('FAO Data A2'!J23:J26))</f>
        <v>675</v>
      </c>
      <c r="AA18" s="6">
        <f>10*(AVERAGE('FAO Data A2'!K23:K26))</f>
        <v>46.8</v>
      </c>
      <c r="AB18" s="6">
        <f>10*(AVERAGE('FAO Data A2'!L23:L26))</f>
        <v>33.799999999999997</v>
      </c>
      <c r="AC18" s="6">
        <f>10*(AVERAGE('FAO Data A2'!M23:M26))</f>
        <v>44.274999999999991</v>
      </c>
      <c r="AD18" s="6">
        <f>10*(AVERAGE('FAO Data A2'!N23:N26))</f>
        <v>0</v>
      </c>
      <c r="AE18" s="6">
        <f>10*(AVERAGE('FAO Data A2'!O23:O26))</f>
        <v>7.2249999999999996</v>
      </c>
      <c r="AF18" s="6">
        <f>10*(AVERAGE('FAO Data A2'!P23:P26))</f>
        <v>1205.2</v>
      </c>
      <c r="AG18" s="6">
        <f>10*(AVERAGE('FAO Data A2'!Q23:Q26))</f>
        <v>8.2999999999999989</v>
      </c>
      <c r="AH18" s="6">
        <f>10*(AVERAGE('FAO Data A2'!R23:R26))</f>
        <v>5</v>
      </c>
    </row>
    <row r="19" spans="4:34" x14ac:dyDescent="0.25">
      <c r="D19" s="6" t="s">
        <v>286</v>
      </c>
      <c r="E19" s="6">
        <v>7.3999999999999996E-2</v>
      </c>
      <c r="F19" s="6">
        <v>1.87</v>
      </c>
      <c r="G19" s="6">
        <f t="shared" si="2"/>
        <v>7428.5750000000007</v>
      </c>
      <c r="H19" s="6">
        <f t="shared" si="2"/>
        <v>464.36774999999994</v>
      </c>
      <c r="I19" s="6">
        <f t="shared" si="2"/>
        <v>684.23300000000006</v>
      </c>
      <c r="J19" s="6">
        <f t="shared" si="2"/>
        <v>346.79150000000004</v>
      </c>
      <c r="K19" s="6">
        <f t="shared" si="2"/>
        <v>211.77750000000003</v>
      </c>
      <c r="L19" s="6">
        <f t="shared" si="2"/>
        <v>92.75200000000001</v>
      </c>
      <c r="M19" s="6">
        <f t="shared" si="2"/>
        <v>4576.8249999999998</v>
      </c>
      <c r="N19" s="6">
        <f t="shared" si="2"/>
        <v>196.58375000000004</v>
      </c>
      <c r="O19" s="6">
        <f t="shared" si="2"/>
        <v>79.475000000000009</v>
      </c>
      <c r="P19" s="6">
        <f t="shared" si="3"/>
        <v>549.71455000000003</v>
      </c>
      <c r="Q19" s="6">
        <f t="shared" si="3"/>
        <v>34.363213499999993</v>
      </c>
      <c r="R19" s="6">
        <f t="shared" si="3"/>
        <v>50.633242000000003</v>
      </c>
      <c r="S19" s="6">
        <f t="shared" si="3"/>
        <v>25.662571000000003</v>
      </c>
      <c r="T19" s="6">
        <f t="shared" si="3"/>
        <v>15.671535000000002</v>
      </c>
      <c r="U19" s="6">
        <f t="shared" si="3"/>
        <v>6.8636480000000004</v>
      </c>
      <c r="V19" s="6">
        <f t="shared" si="3"/>
        <v>338.68504999999999</v>
      </c>
      <c r="W19" s="6">
        <f t="shared" si="3"/>
        <v>14.547197500000003</v>
      </c>
      <c r="X19" s="6">
        <f t="shared" si="3"/>
        <v>5.8811500000000008</v>
      </c>
      <c r="Z19" s="6">
        <f>10*(AVERAGE('FAO Data A2'!J67:J70))</f>
        <v>3972.5</v>
      </c>
      <c r="AA19" s="6">
        <f>10*(AVERAGE('FAO Data A2'!K67:K70))</f>
        <v>248.32499999999996</v>
      </c>
      <c r="AB19" s="6">
        <f>10*(AVERAGE('FAO Data A2'!L67:L70))</f>
        <v>365.90000000000003</v>
      </c>
      <c r="AC19" s="6">
        <f>10*(AVERAGE('FAO Data A2'!M67:M70))</f>
        <v>185.45000000000002</v>
      </c>
      <c r="AD19" s="6">
        <f>10*(AVERAGE('FAO Data A2'!N67:N70))</f>
        <v>113.25000000000001</v>
      </c>
      <c r="AE19" s="6">
        <f>10*(AVERAGE('FAO Data A2'!O67:O70))</f>
        <v>49.6</v>
      </c>
      <c r="AF19" s="6">
        <f>10*(AVERAGE('FAO Data A2'!P67:P70))</f>
        <v>2447.5</v>
      </c>
      <c r="AG19" s="6">
        <f>10*(AVERAGE('FAO Data A2'!Q67:Q70))</f>
        <v>105.12500000000001</v>
      </c>
      <c r="AH19" s="6">
        <f>10*(AVERAGE('FAO Data A2'!R67:R70))</f>
        <v>42.5</v>
      </c>
    </row>
    <row r="20" spans="4:34" x14ac:dyDescent="0.25">
      <c r="D20" s="7" t="s">
        <v>199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Z20" s="11"/>
      <c r="AA20" s="12"/>
      <c r="AB20" s="12"/>
      <c r="AC20" s="12"/>
      <c r="AD20" s="12"/>
      <c r="AE20" s="12"/>
      <c r="AF20" s="12"/>
      <c r="AG20" s="12"/>
      <c r="AH20" s="13"/>
    </row>
    <row r="21" spans="4:34" x14ac:dyDescent="0.25">
      <c r="D21" s="6" t="s">
        <v>287</v>
      </c>
      <c r="E21" s="6">
        <v>0.16800000000000001</v>
      </c>
      <c r="F21" s="6">
        <v>0.96</v>
      </c>
      <c r="G21" s="6">
        <f t="shared" ref="G21:O24" si="4">$F21*Z21</f>
        <v>187.2</v>
      </c>
      <c r="H21" s="6">
        <f t="shared" si="4"/>
        <v>33.839999999999989</v>
      </c>
      <c r="I21" s="6">
        <f t="shared" si="4"/>
        <v>8.3760000000000012</v>
      </c>
      <c r="J21" s="6">
        <f t="shared" si="4"/>
        <v>2.2559999999999998</v>
      </c>
      <c r="K21" s="6">
        <f t="shared" si="4"/>
        <v>9.84</v>
      </c>
      <c r="L21" s="6">
        <f t="shared" si="4"/>
        <v>5.3520000000000003</v>
      </c>
      <c r="M21" s="6">
        <f t="shared" si="4"/>
        <v>106.8</v>
      </c>
      <c r="N21" s="6">
        <f t="shared" si="4"/>
        <v>5.976</v>
      </c>
      <c r="O21" s="6">
        <f t="shared" si="4"/>
        <v>229.27199999999999</v>
      </c>
      <c r="P21" s="6">
        <f>$E21*G21</f>
        <v>31.4496</v>
      </c>
      <c r="Q21" s="6">
        <f t="shared" ref="Q21:X24" si="5">$E21*H21</f>
        <v>5.6851199999999986</v>
      </c>
      <c r="R21" s="6">
        <f t="shared" si="5"/>
        <v>1.4071680000000002</v>
      </c>
      <c r="S21" s="6">
        <f t="shared" si="5"/>
        <v>0.37900800000000001</v>
      </c>
      <c r="T21" s="6">
        <f t="shared" si="5"/>
        <v>1.6531200000000001</v>
      </c>
      <c r="U21" s="6">
        <f t="shared" si="5"/>
        <v>0.89913600000000016</v>
      </c>
      <c r="V21" s="6">
        <f t="shared" si="5"/>
        <v>17.942399999999999</v>
      </c>
      <c r="W21" s="6">
        <f t="shared" si="5"/>
        <v>1.003968</v>
      </c>
      <c r="X21" s="6">
        <f t="shared" si="5"/>
        <v>38.517696000000001</v>
      </c>
      <c r="Z21" s="6">
        <f>10*(AVERAGE('FAO Data A2'!J43:J46))</f>
        <v>195</v>
      </c>
      <c r="AA21" s="6">
        <f>10*(AVERAGE('FAO Data A2'!K43:K46))</f>
        <v>35.249999999999993</v>
      </c>
      <c r="AB21" s="6">
        <f>10*(AVERAGE('FAO Data A2'!L43:L46))</f>
        <v>8.7250000000000014</v>
      </c>
      <c r="AC21" s="6">
        <f>10*(AVERAGE('FAO Data A2'!M43:M46))</f>
        <v>2.3499999999999996</v>
      </c>
      <c r="AD21" s="6">
        <f>10*(AVERAGE('FAO Data A2'!N43:N46))</f>
        <v>10.25</v>
      </c>
      <c r="AE21" s="6">
        <f>10*(AVERAGE('FAO Data A2'!O43:O46))</f>
        <v>5.5750000000000002</v>
      </c>
      <c r="AF21" s="6">
        <f>10*(AVERAGE('FAO Data A2'!P43:P46))</f>
        <v>111.25</v>
      </c>
      <c r="AG21" s="6">
        <f>10*(AVERAGE('FAO Data A2'!Q43:Q46))</f>
        <v>6.2250000000000005</v>
      </c>
      <c r="AH21" s="6">
        <f>10*(AVERAGE('FAO Data A2'!R43:R46))</f>
        <v>238.82499999999999</v>
      </c>
    </row>
    <row r="22" spans="4:34" x14ac:dyDescent="0.25">
      <c r="D22" s="6" t="s">
        <v>288</v>
      </c>
      <c r="E22" s="6">
        <v>5.6000000000000001E-2</v>
      </c>
      <c r="F22" s="6">
        <v>7.0000000000000007E-2</v>
      </c>
      <c r="G22" s="6">
        <f t="shared" si="4"/>
        <v>18.987500000000001</v>
      </c>
      <c r="H22" s="6">
        <f t="shared" si="4"/>
        <v>2.3380000000000001</v>
      </c>
      <c r="I22" s="6">
        <f t="shared" si="4"/>
        <v>2.0615000000000001</v>
      </c>
      <c r="J22" s="6">
        <f t="shared" si="4"/>
        <v>0.21525000000000002</v>
      </c>
      <c r="K22" s="6">
        <f t="shared" si="4"/>
        <v>1.5190000000000001</v>
      </c>
      <c r="L22" s="6">
        <f t="shared" si="4"/>
        <v>1.3124999999999998</v>
      </c>
      <c r="M22" s="6">
        <f t="shared" si="4"/>
        <v>131.83275</v>
      </c>
      <c r="N22" s="6">
        <f t="shared" si="4"/>
        <v>2.4885000000000006</v>
      </c>
      <c r="O22" s="6">
        <f t="shared" si="4"/>
        <v>30.660000000000004</v>
      </c>
      <c r="P22" s="6">
        <f>$E22*G22</f>
        <v>1.0633000000000001</v>
      </c>
      <c r="Q22" s="6">
        <f t="shared" si="5"/>
        <v>0.13092800000000002</v>
      </c>
      <c r="R22" s="6">
        <f t="shared" si="5"/>
        <v>0.115444</v>
      </c>
      <c r="S22" s="6">
        <f t="shared" si="5"/>
        <v>1.2054000000000002E-2</v>
      </c>
      <c r="T22" s="6">
        <f t="shared" si="5"/>
        <v>8.5064000000000015E-2</v>
      </c>
      <c r="U22" s="6">
        <f t="shared" si="5"/>
        <v>7.3499999999999996E-2</v>
      </c>
      <c r="V22" s="6">
        <f t="shared" si="5"/>
        <v>7.3826340000000004</v>
      </c>
      <c r="W22" s="6">
        <f t="shared" si="5"/>
        <v>0.13935600000000004</v>
      </c>
      <c r="X22" s="6">
        <f t="shared" si="5"/>
        <v>1.7169600000000003</v>
      </c>
      <c r="Z22" s="6">
        <f>10*(AVERAGE('FAO Data A2'!J87:J90))</f>
        <v>271.25</v>
      </c>
      <c r="AA22" s="6">
        <f>10*(AVERAGE('FAO Data A2'!K87:K90))</f>
        <v>33.4</v>
      </c>
      <c r="AB22" s="6">
        <f>10*(AVERAGE('FAO Data A2'!L87:L90))</f>
        <v>29.45</v>
      </c>
      <c r="AC22" s="6">
        <f>10*(AVERAGE('FAO Data A2'!M87:M90))</f>
        <v>3.0750000000000002</v>
      </c>
      <c r="AD22" s="6">
        <f>10*(AVERAGE('FAO Data A2'!N87:N90))</f>
        <v>21.7</v>
      </c>
      <c r="AE22" s="6">
        <f>10*(AVERAGE('FAO Data A2'!O87:O90))</f>
        <v>18.749999999999996</v>
      </c>
      <c r="AF22" s="6">
        <f>10*(AVERAGE('FAO Data A2'!P87:P90))</f>
        <v>1883.3249999999998</v>
      </c>
      <c r="AG22" s="6">
        <f>10*(AVERAGE('FAO Data A2'!Q87:Q90))</f>
        <v>35.550000000000004</v>
      </c>
      <c r="AH22" s="6">
        <f>10*(AVERAGE('FAO Data A2'!R87:R90))</f>
        <v>438</v>
      </c>
    </row>
    <row r="23" spans="4:34" x14ac:dyDescent="0.25">
      <c r="D23" s="6" t="s">
        <v>289</v>
      </c>
      <c r="E23" s="6">
        <v>0.14399999999999999</v>
      </c>
      <c r="F23" s="6">
        <v>0.64</v>
      </c>
      <c r="G23" s="6">
        <f t="shared" si="4"/>
        <v>230.4</v>
      </c>
      <c r="H23" s="6">
        <f t="shared" si="4"/>
        <v>46.208000000000006</v>
      </c>
      <c r="I23" s="6">
        <f t="shared" si="4"/>
        <v>11.296000000000001</v>
      </c>
      <c r="J23" s="6">
        <f t="shared" si="4"/>
        <v>1.7920000000000003</v>
      </c>
      <c r="K23" s="6">
        <f t="shared" si="4"/>
        <v>14.08</v>
      </c>
      <c r="L23" s="6">
        <f t="shared" si="4"/>
        <v>4.6720000000000006</v>
      </c>
      <c r="M23" s="6">
        <f t="shared" si="4"/>
        <v>361.6</v>
      </c>
      <c r="N23" s="6">
        <f t="shared" si="4"/>
        <v>9.6959999999999997</v>
      </c>
      <c r="O23" s="6">
        <f t="shared" si="4"/>
        <v>142.4</v>
      </c>
      <c r="P23" s="6">
        <f>$E23*G23</f>
        <v>33.177599999999998</v>
      </c>
      <c r="Q23" s="6">
        <f t="shared" si="5"/>
        <v>6.6539520000000003</v>
      </c>
      <c r="R23" s="6">
        <f t="shared" si="5"/>
        <v>1.6266240000000001</v>
      </c>
      <c r="S23" s="6">
        <f t="shared" si="5"/>
        <v>0.258048</v>
      </c>
      <c r="T23" s="6">
        <f t="shared" si="5"/>
        <v>2.02752</v>
      </c>
      <c r="U23" s="6">
        <f t="shared" si="5"/>
        <v>0.67276800000000003</v>
      </c>
      <c r="V23" s="6">
        <f t="shared" si="5"/>
        <v>52.070399999999999</v>
      </c>
      <c r="W23" s="6">
        <f t="shared" si="5"/>
        <v>1.3962239999999999</v>
      </c>
      <c r="X23" s="6">
        <f t="shared" si="5"/>
        <v>20.505599999999998</v>
      </c>
      <c r="Z23" s="6">
        <f>10*(AVERAGE('FAO Data A2'!J55:J58))</f>
        <v>360</v>
      </c>
      <c r="AA23" s="6">
        <f>10*(AVERAGE('FAO Data A2'!K55:K58))</f>
        <v>72.2</v>
      </c>
      <c r="AB23" s="6">
        <f>10*(AVERAGE('FAO Data A2'!L55:L58))</f>
        <v>17.650000000000002</v>
      </c>
      <c r="AC23" s="6">
        <f>10*(AVERAGE('FAO Data A2'!M55:M58))</f>
        <v>2.8000000000000003</v>
      </c>
      <c r="AD23" s="6">
        <f>10*(AVERAGE('FAO Data A2'!N55:N58))</f>
        <v>22</v>
      </c>
      <c r="AE23" s="6">
        <f>10*(AVERAGE('FAO Data A2'!O55:O58))</f>
        <v>7.3000000000000007</v>
      </c>
      <c r="AF23" s="6">
        <f>10*(AVERAGE('FAO Data A2'!P55:P58))</f>
        <v>565</v>
      </c>
      <c r="AG23" s="6">
        <f>10*(AVERAGE('FAO Data A2'!Q55:Q58))</f>
        <v>15.149999999999999</v>
      </c>
      <c r="AH23" s="6">
        <f>10*(AVERAGE('FAO Data A2'!R55:R58))</f>
        <v>222.5</v>
      </c>
    </row>
    <row r="24" spans="4:34" x14ac:dyDescent="0.25">
      <c r="D24" s="6" t="s">
        <v>290</v>
      </c>
      <c r="E24" s="6">
        <v>0.252</v>
      </c>
      <c r="F24" s="6">
        <v>0.53</v>
      </c>
      <c r="G24" s="6">
        <f t="shared" si="4"/>
        <v>477</v>
      </c>
      <c r="H24" s="6">
        <f t="shared" si="4"/>
        <v>114.18850000000002</v>
      </c>
      <c r="I24" s="6">
        <f t="shared" si="4"/>
        <v>6.5985000000000005</v>
      </c>
      <c r="J24" s="6">
        <f t="shared" si="4"/>
        <v>1.6430000000000005</v>
      </c>
      <c r="K24" s="6">
        <f t="shared" si="4"/>
        <v>9.5400000000000009</v>
      </c>
      <c r="L24" s="6">
        <f t="shared" si="4"/>
        <v>4.3990000000000009</v>
      </c>
      <c r="M24" s="6">
        <f t="shared" si="4"/>
        <v>42.400000000000006</v>
      </c>
      <c r="N24" s="6">
        <f t="shared" si="4"/>
        <v>3.0739999999999998</v>
      </c>
      <c r="O24" s="6">
        <f t="shared" si="4"/>
        <v>476.60250000000002</v>
      </c>
      <c r="P24" s="6">
        <f>$E24*G24</f>
        <v>120.20400000000001</v>
      </c>
      <c r="Q24" s="6">
        <f t="shared" si="5"/>
        <v>28.775502000000007</v>
      </c>
      <c r="R24" s="6">
        <f t="shared" si="5"/>
        <v>1.662822</v>
      </c>
      <c r="S24" s="6">
        <f t="shared" si="5"/>
        <v>0.41403600000000013</v>
      </c>
      <c r="T24" s="6">
        <f t="shared" si="5"/>
        <v>2.4040800000000004</v>
      </c>
      <c r="U24" s="6">
        <f t="shared" si="5"/>
        <v>1.1085480000000003</v>
      </c>
      <c r="V24" s="6">
        <f t="shared" si="5"/>
        <v>10.684800000000001</v>
      </c>
      <c r="W24" s="6">
        <f t="shared" si="5"/>
        <v>0.774648</v>
      </c>
      <c r="X24" s="6">
        <f t="shared" si="5"/>
        <v>120.10383</v>
      </c>
      <c r="Z24" s="6">
        <f>10*(AVERAGE('FAO Data A2'!J51:J54))</f>
        <v>900</v>
      </c>
      <c r="AA24" s="6">
        <f>10*(AVERAGE('FAO Data A2'!K51:K54))</f>
        <v>215.45000000000002</v>
      </c>
      <c r="AB24" s="6">
        <f>10*(AVERAGE('FAO Data A2'!L51:L54))</f>
        <v>12.450000000000001</v>
      </c>
      <c r="AC24" s="6">
        <f>10*(AVERAGE('FAO Data A2'!M51:M54))</f>
        <v>3.1000000000000005</v>
      </c>
      <c r="AD24" s="6">
        <f>10*(AVERAGE('FAO Data A2'!N51:N54))</f>
        <v>18</v>
      </c>
      <c r="AE24" s="6">
        <f>10*(AVERAGE('FAO Data A2'!O51:O54))</f>
        <v>8.3000000000000007</v>
      </c>
      <c r="AF24" s="6">
        <f>10*(AVERAGE('FAO Data A2'!P51:P54))</f>
        <v>80</v>
      </c>
      <c r="AG24" s="6">
        <f>10*(AVERAGE('FAO Data A2'!Q51:Q54))</f>
        <v>5.8</v>
      </c>
      <c r="AH24" s="6">
        <f>10*(AVERAGE('FAO Data A2'!R51:R54))</f>
        <v>899.25</v>
      </c>
    </row>
    <row r="25" spans="4:34" x14ac:dyDescent="0.25">
      <c r="D25" s="7" t="s">
        <v>291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Z25" s="11"/>
      <c r="AA25" s="12"/>
      <c r="AB25" s="12"/>
      <c r="AC25" s="12"/>
      <c r="AD25" s="12"/>
      <c r="AE25" s="12"/>
      <c r="AF25" s="12"/>
      <c r="AG25" s="12"/>
      <c r="AH25" s="13"/>
    </row>
    <row r="26" spans="4:34" x14ac:dyDescent="0.25">
      <c r="D26" s="6" t="s">
        <v>292</v>
      </c>
      <c r="E26" s="6">
        <v>6.4000000000000001E-2</v>
      </c>
      <c r="F26" s="6">
        <v>7.0000000000000007E-2</v>
      </c>
      <c r="G26" s="6">
        <f t="shared" ref="G26:O28" si="6">$F26*Z26</f>
        <v>295.40000000000003</v>
      </c>
      <c r="H26" s="6">
        <f t="shared" si="6"/>
        <v>49.814333333333344</v>
      </c>
      <c r="I26" s="6">
        <f t="shared" si="6"/>
        <v>6.4190000000000005</v>
      </c>
      <c r="J26" s="6">
        <f t="shared" si="6"/>
        <v>7.3056666666666672</v>
      </c>
      <c r="K26" s="6">
        <f t="shared" si="6"/>
        <v>1.1900000000000002</v>
      </c>
      <c r="L26" s="6">
        <f t="shared" si="6"/>
        <v>1.1083333333333334</v>
      </c>
      <c r="M26" s="6">
        <f t="shared" si="6"/>
        <v>99.050000000000011</v>
      </c>
      <c r="N26" s="6">
        <f t="shared" si="6"/>
        <v>1.8480000000000001</v>
      </c>
      <c r="O26" s="6">
        <f t="shared" si="6"/>
        <v>7.0000000000000007E-2</v>
      </c>
      <c r="P26" s="6">
        <f>$E26*G26</f>
        <v>18.905600000000003</v>
      </c>
      <c r="Q26" s="6">
        <f t="shared" ref="Q26:X28" si="7">$E26*H26</f>
        <v>3.1881173333333339</v>
      </c>
      <c r="R26" s="6">
        <f t="shared" si="7"/>
        <v>0.41081600000000001</v>
      </c>
      <c r="S26" s="6">
        <f t="shared" si="7"/>
        <v>0.46756266666666674</v>
      </c>
      <c r="T26" s="6">
        <f t="shared" si="7"/>
        <v>7.6160000000000005E-2</v>
      </c>
      <c r="U26" s="6">
        <f t="shared" si="7"/>
        <v>7.0933333333333334E-2</v>
      </c>
      <c r="V26" s="6">
        <f t="shared" si="7"/>
        <v>6.3392000000000008</v>
      </c>
      <c r="W26" s="6">
        <f t="shared" si="7"/>
        <v>0.118272</v>
      </c>
      <c r="X26" s="6">
        <f t="shared" si="7"/>
        <v>4.4800000000000005E-3</v>
      </c>
      <c r="Z26" s="6">
        <f>10*(AVERAGE('FAO Data A2'!J63:J66))</f>
        <v>4220</v>
      </c>
      <c r="AA26" s="6">
        <f>10*(AVERAGE('FAO Data A2'!K63:K66))</f>
        <v>711.63333333333344</v>
      </c>
      <c r="AB26" s="6">
        <f>10*(AVERAGE('FAO Data A2'!L63:L66))</f>
        <v>91.7</v>
      </c>
      <c r="AC26" s="6">
        <f>10*(AVERAGE('FAO Data A2'!M63:M66))</f>
        <v>104.36666666666666</v>
      </c>
      <c r="AD26" s="6">
        <f>10*(AVERAGE('FAO Data A2'!N63:N66))</f>
        <v>17</v>
      </c>
      <c r="AE26" s="6">
        <f>10*(AVERAGE('FAO Data A2'!O63:O66))</f>
        <v>15.833333333333332</v>
      </c>
      <c r="AF26" s="6">
        <f>10*(AVERAGE('FAO Data A2'!P63:P66))</f>
        <v>1415</v>
      </c>
      <c r="AG26" s="6">
        <f>10*(AVERAGE('FAO Data A2'!Q63:Q66))</f>
        <v>26.4</v>
      </c>
      <c r="AH26" s="6">
        <f>10*(AVERAGE('FAO Data A2'!R63:R66))</f>
        <v>1</v>
      </c>
    </row>
    <row r="27" spans="4:34" x14ac:dyDescent="0.25">
      <c r="D27" s="6" t="s">
        <v>293</v>
      </c>
      <c r="E27" s="6">
        <v>0.13</v>
      </c>
      <c r="F27" s="6">
        <v>1.55</v>
      </c>
      <c r="G27" s="6">
        <f t="shared" si="6"/>
        <v>5745.3333333333339</v>
      </c>
      <c r="H27" s="6">
        <f t="shared" si="6"/>
        <v>1482.8333333333335</v>
      </c>
      <c r="I27" s="6">
        <f t="shared" si="6"/>
        <v>0</v>
      </c>
      <c r="J27" s="6">
        <f t="shared" si="6"/>
        <v>0</v>
      </c>
      <c r="K27" s="6">
        <f t="shared" si="6"/>
        <v>0</v>
      </c>
      <c r="L27" s="6">
        <f t="shared" si="6"/>
        <v>13.484999999999999</v>
      </c>
      <c r="M27" s="6">
        <f t="shared" si="6"/>
        <v>38.75</v>
      </c>
      <c r="N27" s="6">
        <f t="shared" si="6"/>
        <v>0.77500000000000002</v>
      </c>
      <c r="O27" s="6">
        <f t="shared" si="6"/>
        <v>0</v>
      </c>
      <c r="P27" s="6">
        <f>$E27*G27</f>
        <v>746.89333333333343</v>
      </c>
      <c r="Q27" s="6">
        <f t="shared" si="7"/>
        <v>192.76833333333337</v>
      </c>
      <c r="R27" s="6">
        <f t="shared" si="7"/>
        <v>0</v>
      </c>
      <c r="S27" s="6">
        <f t="shared" si="7"/>
        <v>0</v>
      </c>
      <c r="T27" s="6">
        <f t="shared" si="7"/>
        <v>0</v>
      </c>
      <c r="U27" s="6">
        <f t="shared" si="7"/>
        <v>1.75305</v>
      </c>
      <c r="V27" s="6">
        <f t="shared" si="7"/>
        <v>5.0375000000000005</v>
      </c>
      <c r="W27" s="6">
        <f t="shared" si="7"/>
        <v>0.10075000000000001</v>
      </c>
      <c r="X27" s="6">
        <f t="shared" si="7"/>
        <v>0</v>
      </c>
      <c r="Z27" s="6">
        <f>10*(AVERAGE('FAO Data A2'!J79:J82))</f>
        <v>3706.666666666667</v>
      </c>
      <c r="AA27" s="6">
        <f>10*(AVERAGE('FAO Data A2'!K79:K82))</f>
        <v>956.66666666666674</v>
      </c>
      <c r="AB27" s="6">
        <f>10*(AVERAGE('FAO Data A2'!L79:L82))</f>
        <v>0</v>
      </c>
      <c r="AC27" s="6">
        <f>10*(AVERAGE('FAO Data A2'!M79:M82))</f>
        <v>0</v>
      </c>
      <c r="AD27" s="6">
        <f>10*(AVERAGE('FAO Data A2'!N79:N82))</f>
        <v>0</v>
      </c>
      <c r="AE27" s="6">
        <f>10*(AVERAGE('FAO Data A2'!O79:O82))</f>
        <v>8.6999999999999993</v>
      </c>
      <c r="AF27" s="6">
        <f>10*(AVERAGE('FAO Data A2'!P79:P82))</f>
        <v>25</v>
      </c>
      <c r="AG27" s="6">
        <f>10*(AVERAGE('FAO Data A2'!Q79:Q82))</f>
        <v>0.5</v>
      </c>
      <c r="AH27" s="6">
        <f>10*(AVERAGE('FAO Data A2'!R79:R82))</f>
        <v>0</v>
      </c>
    </row>
    <row r="28" spans="4:34" x14ac:dyDescent="0.25">
      <c r="D28" s="6" t="s">
        <v>294</v>
      </c>
      <c r="E28" s="6">
        <v>9.8000000000000004E-2</v>
      </c>
      <c r="F28" s="6">
        <v>0.88</v>
      </c>
      <c r="G28" s="6">
        <f t="shared" si="6"/>
        <v>5711.2</v>
      </c>
      <c r="H28" s="6">
        <f t="shared" si="6"/>
        <v>8.2720000000000002</v>
      </c>
      <c r="I28" s="6">
        <f t="shared" si="6"/>
        <v>11.11</v>
      </c>
      <c r="J28" s="6">
        <f t="shared" si="6"/>
        <v>629.11199999999997</v>
      </c>
      <c r="K28" s="6">
        <f t="shared" si="6"/>
        <v>0</v>
      </c>
      <c r="L28" s="6">
        <f t="shared" si="6"/>
        <v>2.7280000000000002</v>
      </c>
      <c r="M28" s="6">
        <f t="shared" si="6"/>
        <v>312.69333333333333</v>
      </c>
      <c r="N28" s="6">
        <f t="shared" si="6"/>
        <v>11.791999999999998</v>
      </c>
      <c r="O28" s="6">
        <f t="shared" si="6"/>
        <v>0.70400000000000007</v>
      </c>
      <c r="P28" s="6">
        <f>$E28*G28</f>
        <v>559.69759999999997</v>
      </c>
      <c r="Q28" s="6">
        <f t="shared" si="7"/>
        <v>0.81065600000000004</v>
      </c>
      <c r="R28" s="6">
        <f t="shared" si="7"/>
        <v>1.0887800000000001</v>
      </c>
      <c r="S28" s="6">
        <f t="shared" si="7"/>
        <v>61.652976000000002</v>
      </c>
      <c r="T28" s="6">
        <f t="shared" si="7"/>
        <v>0</v>
      </c>
      <c r="U28" s="6">
        <f t="shared" si="7"/>
        <v>0.26734400000000003</v>
      </c>
      <c r="V28" s="6">
        <f t="shared" si="7"/>
        <v>30.643946666666668</v>
      </c>
      <c r="W28" s="6">
        <f t="shared" si="7"/>
        <v>1.1556159999999998</v>
      </c>
      <c r="X28" s="6">
        <f t="shared" si="7"/>
        <v>6.8992000000000012E-2</v>
      </c>
      <c r="Z28" s="6">
        <f>10*(AVERAGE('FAO Data A2'!J83:J86))</f>
        <v>6490</v>
      </c>
      <c r="AA28" s="6">
        <f>10*(AVERAGE('FAO Data A2'!K83:K86))</f>
        <v>9.4</v>
      </c>
      <c r="AB28" s="6">
        <f>10*(AVERAGE('FAO Data A2'!L83:L86))</f>
        <v>12.625</v>
      </c>
      <c r="AC28" s="6">
        <f>10*(AVERAGE('FAO Data A2'!M83:M86))</f>
        <v>714.9</v>
      </c>
      <c r="AD28" s="6">
        <f>10*(AVERAGE('FAO Data A2'!N83:N86))</f>
        <v>0</v>
      </c>
      <c r="AE28" s="6">
        <f>10*(AVERAGE('FAO Data A2'!O83:O86))</f>
        <v>3.1</v>
      </c>
      <c r="AF28" s="6">
        <f>10*(AVERAGE('FAO Data A2'!P83:P86))</f>
        <v>355.33333333333331</v>
      </c>
      <c r="AG28" s="6">
        <f>10*(AVERAGE('FAO Data A2'!Q83:Q86))</f>
        <v>13.399999999999999</v>
      </c>
      <c r="AH28" s="6">
        <f>10*(AVERAGE('FAO Data A2'!R83:R86))</f>
        <v>0.8</v>
      </c>
    </row>
  </sheetData>
  <mergeCells count="10">
    <mergeCell ref="E12:X12"/>
    <mergeCell ref="Z12:AH12"/>
    <mergeCell ref="Z20:AH20"/>
    <mergeCell ref="Z25:AH25"/>
    <mergeCell ref="D4:X4"/>
    <mergeCell ref="F5:O5"/>
    <mergeCell ref="P5:X5"/>
    <mergeCell ref="Z5:AH5"/>
    <mergeCell ref="E7:X7"/>
    <mergeCell ref="Z7:A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CE82-0290-431A-93FD-92E649225239}">
  <dimension ref="C2:S133"/>
  <sheetViews>
    <sheetView topLeftCell="A19" zoomScale="80" zoomScaleNormal="80" workbookViewId="0">
      <selection activeCell="G2" sqref="G2"/>
    </sheetView>
  </sheetViews>
  <sheetFormatPr defaultRowHeight="15" x14ac:dyDescent="0.25"/>
  <cols>
    <col min="3" max="3" width="16.85546875" customWidth="1"/>
    <col min="4" max="4" width="21.140625" customWidth="1"/>
    <col min="5" max="5" width="27.5703125" customWidth="1"/>
    <col min="6" max="6" width="14" customWidth="1"/>
    <col min="7" max="7" width="54.28515625" customWidth="1"/>
    <col min="9" max="9" width="25.42578125" customWidth="1"/>
    <col min="10" max="10" width="26.140625" customWidth="1"/>
    <col min="13" max="13" width="13.5703125" customWidth="1"/>
  </cols>
  <sheetData>
    <row r="2" spans="3:19" x14ac:dyDescent="0.25">
      <c r="C2" t="s">
        <v>129</v>
      </c>
      <c r="D2" t="s">
        <v>247</v>
      </c>
      <c r="E2" t="s">
        <v>249</v>
      </c>
      <c r="F2" t="s">
        <v>1</v>
      </c>
      <c r="G2" t="s">
        <v>136</v>
      </c>
      <c r="H2" t="s">
        <v>38</v>
      </c>
      <c r="I2" t="s">
        <v>137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36</v>
      </c>
      <c r="P2" t="s">
        <v>37</v>
      </c>
      <c r="Q2" t="s">
        <v>41</v>
      </c>
      <c r="R2" t="s">
        <v>42</v>
      </c>
      <c r="S2" t="s">
        <v>30</v>
      </c>
    </row>
    <row r="3" spans="3:19" x14ac:dyDescent="0.25">
      <c r="C3" t="s">
        <v>130</v>
      </c>
      <c r="D3" t="s">
        <v>199</v>
      </c>
      <c r="E3" t="s">
        <v>255</v>
      </c>
      <c r="F3" t="s">
        <v>208</v>
      </c>
      <c r="G3" t="s">
        <v>243</v>
      </c>
      <c r="I3" t="s">
        <v>225</v>
      </c>
      <c r="J3" t="s">
        <v>69</v>
      </c>
      <c r="K3">
        <v>52</v>
      </c>
      <c r="L3">
        <v>12.98</v>
      </c>
      <c r="M3">
        <v>0.32</v>
      </c>
      <c r="N3">
        <v>0.09</v>
      </c>
      <c r="O3">
        <v>2.4</v>
      </c>
      <c r="P3">
        <v>0.37</v>
      </c>
      <c r="Q3">
        <v>6.17</v>
      </c>
      <c r="R3">
        <v>0.41</v>
      </c>
      <c r="S3">
        <v>0</v>
      </c>
    </row>
    <row r="4" spans="3:19" x14ac:dyDescent="0.25">
      <c r="C4" t="s">
        <v>211</v>
      </c>
      <c r="D4" t="s">
        <v>199</v>
      </c>
      <c r="E4" t="s">
        <v>255</v>
      </c>
      <c r="F4" t="s">
        <v>208</v>
      </c>
      <c r="G4" t="s">
        <v>243</v>
      </c>
      <c r="I4" t="s">
        <v>225</v>
      </c>
      <c r="J4" t="s">
        <v>69</v>
      </c>
      <c r="K4">
        <v>52</v>
      </c>
      <c r="L4">
        <v>12.98</v>
      </c>
      <c r="M4">
        <v>0.32</v>
      </c>
      <c r="N4">
        <v>0.09</v>
      </c>
      <c r="O4">
        <v>2.4</v>
      </c>
      <c r="P4">
        <v>0.37</v>
      </c>
      <c r="Q4">
        <v>6.17</v>
      </c>
      <c r="R4">
        <v>0.41</v>
      </c>
      <c r="S4">
        <v>0</v>
      </c>
    </row>
    <row r="5" spans="3:19" x14ac:dyDescent="0.25">
      <c r="C5" t="s">
        <v>141</v>
      </c>
      <c r="D5" t="s">
        <v>199</v>
      </c>
      <c r="E5" t="s">
        <v>255</v>
      </c>
      <c r="F5" t="s">
        <v>215</v>
      </c>
      <c r="G5" t="s">
        <v>246</v>
      </c>
      <c r="H5">
        <v>863</v>
      </c>
      <c r="I5" t="s">
        <v>226</v>
      </c>
      <c r="J5" t="s">
        <v>69</v>
      </c>
      <c r="K5" s="4">
        <v>121</v>
      </c>
      <c r="L5" s="4">
        <v>6.1</v>
      </c>
      <c r="M5" s="4">
        <v>1.4</v>
      </c>
      <c r="N5" s="4">
        <v>11.3</v>
      </c>
      <c r="O5" s="4">
        <v>1.8</v>
      </c>
      <c r="P5" s="4">
        <v>0.9</v>
      </c>
      <c r="Q5" s="4">
        <v>19</v>
      </c>
      <c r="R5" s="4">
        <v>1.4</v>
      </c>
      <c r="S5" s="4">
        <v>18</v>
      </c>
    </row>
    <row r="6" spans="3:19" x14ac:dyDescent="0.25">
      <c r="C6" t="s">
        <v>139</v>
      </c>
      <c r="D6" t="s">
        <v>199</v>
      </c>
      <c r="E6" t="s">
        <v>255</v>
      </c>
      <c r="F6" t="s">
        <v>215</v>
      </c>
      <c r="G6" t="s">
        <v>244</v>
      </c>
      <c r="H6">
        <v>11005</v>
      </c>
      <c r="I6" t="s">
        <v>227</v>
      </c>
      <c r="J6" t="s">
        <v>69</v>
      </c>
      <c r="K6">
        <v>160</v>
      </c>
      <c r="L6">
        <v>8.5299999999999994</v>
      </c>
      <c r="M6">
        <v>2</v>
      </c>
      <c r="N6">
        <v>14.66</v>
      </c>
      <c r="O6">
        <v>6.7</v>
      </c>
      <c r="P6">
        <v>1.58</v>
      </c>
      <c r="Q6">
        <v>12</v>
      </c>
      <c r="R6">
        <v>0.55000000000000004</v>
      </c>
      <c r="S6">
        <v>10</v>
      </c>
    </row>
    <row r="7" spans="3:19" x14ac:dyDescent="0.25">
      <c r="C7" t="s">
        <v>141</v>
      </c>
      <c r="D7" t="s">
        <v>199</v>
      </c>
      <c r="E7" t="s">
        <v>255</v>
      </c>
      <c r="F7" t="s">
        <v>12</v>
      </c>
      <c r="G7" t="s">
        <v>246</v>
      </c>
      <c r="H7">
        <v>199</v>
      </c>
      <c r="I7" t="s">
        <v>80</v>
      </c>
      <c r="J7" t="s">
        <v>69</v>
      </c>
      <c r="K7">
        <v>88</v>
      </c>
      <c r="L7">
        <v>20.6</v>
      </c>
      <c r="M7">
        <v>1.5</v>
      </c>
      <c r="N7">
        <v>0.1</v>
      </c>
      <c r="O7">
        <v>0.9</v>
      </c>
      <c r="P7">
        <v>0.8</v>
      </c>
      <c r="Q7">
        <v>9</v>
      </c>
      <c r="R7">
        <v>1.4</v>
      </c>
      <c r="S7">
        <v>9</v>
      </c>
    </row>
    <row r="8" spans="3:19" x14ac:dyDescent="0.25">
      <c r="C8" t="s">
        <v>130</v>
      </c>
      <c r="D8" t="s">
        <v>199</v>
      </c>
      <c r="E8" t="s">
        <v>255</v>
      </c>
      <c r="F8" t="s">
        <v>12</v>
      </c>
      <c r="G8" t="s">
        <v>243</v>
      </c>
      <c r="I8" t="s">
        <v>12</v>
      </c>
      <c r="J8" t="s">
        <v>69</v>
      </c>
      <c r="K8">
        <v>89</v>
      </c>
      <c r="L8">
        <v>22.84</v>
      </c>
      <c r="M8">
        <v>1.0900000000000001</v>
      </c>
      <c r="N8">
        <v>0.21</v>
      </c>
      <c r="O8">
        <v>2</v>
      </c>
      <c r="P8">
        <v>0.9</v>
      </c>
      <c r="Q8">
        <v>5</v>
      </c>
      <c r="R8">
        <v>0.26</v>
      </c>
      <c r="S8">
        <v>333.7</v>
      </c>
    </row>
    <row r="9" spans="3:19" x14ac:dyDescent="0.25">
      <c r="C9" t="s">
        <v>211</v>
      </c>
      <c r="D9" t="s">
        <v>199</v>
      </c>
      <c r="E9" t="s">
        <v>255</v>
      </c>
      <c r="F9" t="s">
        <v>12</v>
      </c>
      <c r="G9" t="s">
        <v>243</v>
      </c>
      <c r="I9" t="s">
        <v>12</v>
      </c>
      <c r="J9" t="s">
        <v>69</v>
      </c>
      <c r="K9">
        <v>89</v>
      </c>
      <c r="L9">
        <v>22.84</v>
      </c>
      <c r="M9">
        <v>1.0900000000000001</v>
      </c>
      <c r="N9">
        <v>0.21</v>
      </c>
      <c r="O9">
        <v>2</v>
      </c>
      <c r="P9">
        <v>0.9</v>
      </c>
      <c r="Q9">
        <v>5</v>
      </c>
      <c r="R9">
        <v>0.26</v>
      </c>
      <c r="S9">
        <v>333.7</v>
      </c>
    </row>
    <row r="10" spans="3:19" x14ac:dyDescent="0.25">
      <c r="C10" t="s">
        <v>139</v>
      </c>
      <c r="D10" t="s">
        <v>199</v>
      </c>
      <c r="E10" t="s">
        <v>255</v>
      </c>
      <c r="F10" t="s">
        <v>12</v>
      </c>
      <c r="G10" t="s">
        <v>244</v>
      </c>
      <c r="H10">
        <v>12010</v>
      </c>
      <c r="I10" t="s">
        <v>79</v>
      </c>
      <c r="J10" t="s">
        <v>69</v>
      </c>
      <c r="K10">
        <v>89</v>
      </c>
      <c r="L10">
        <v>22.84</v>
      </c>
      <c r="M10">
        <v>1.0900000000000001</v>
      </c>
      <c r="N10">
        <v>0.33</v>
      </c>
      <c r="O10">
        <v>2.6</v>
      </c>
      <c r="P10">
        <v>0.82</v>
      </c>
      <c r="Q10">
        <v>5</v>
      </c>
      <c r="R10">
        <v>0.26</v>
      </c>
      <c r="S10">
        <v>9</v>
      </c>
    </row>
    <row r="11" spans="3:19" x14ac:dyDescent="0.25">
      <c r="C11" t="s">
        <v>130</v>
      </c>
      <c r="D11" t="s">
        <v>170</v>
      </c>
      <c r="E11" t="s">
        <v>251</v>
      </c>
      <c r="F11" t="s">
        <v>17</v>
      </c>
      <c r="G11" t="s">
        <v>243</v>
      </c>
      <c r="I11" t="s">
        <v>86</v>
      </c>
      <c r="J11" t="s">
        <v>69</v>
      </c>
      <c r="K11">
        <v>155</v>
      </c>
      <c r="L11">
        <v>0</v>
      </c>
      <c r="M11">
        <v>21.25</v>
      </c>
      <c r="N11">
        <v>6.28</v>
      </c>
      <c r="O11">
        <v>0</v>
      </c>
      <c r="P11">
        <v>1.6</v>
      </c>
      <c r="Q11">
        <v>5</v>
      </c>
      <c r="R11">
        <v>1.92</v>
      </c>
      <c r="S11">
        <v>0</v>
      </c>
    </row>
    <row r="12" spans="3:19" x14ac:dyDescent="0.25">
      <c r="C12" t="s">
        <v>138</v>
      </c>
      <c r="D12" t="s">
        <v>170</v>
      </c>
      <c r="E12" t="s">
        <v>251</v>
      </c>
      <c r="F12" t="s">
        <v>17</v>
      </c>
      <c r="G12" t="s">
        <v>243</v>
      </c>
      <c r="I12" t="s">
        <v>86</v>
      </c>
      <c r="J12" t="s">
        <v>69</v>
      </c>
      <c r="K12">
        <v>155</v>
      </c>
      <c r="L12">
        <v>0</v>
      </c>
      <c r="M12">
        <v>21.25</v>
      </c>
      <c r="N12">
        <v>6.28</v>
      </c>
      <c r="O12">
        <v>0</v>
      </c>
      <c r="P12">
        <v>1.6</v>
      </c>
      <c r="Q12">
        <v>5</v>
      </c>
      <c r="R12">
        <v>1.92</v>
      </c>
      <c r="S12">
        <v>0</v>
      </c>
    </row>
    <row r="13" spans="3:19" x14ac:dyDescent="0.25">
      <c r="C13" t="s">
        <v>139</v>
      </c>
      <c r="D13" t="s">
        <v>170</v>
      </c>
      <c r="E13" t="s">
        <v>251</v>
      </c>
      <c r="F13" t="s">
        <v>17</v>
      </c>
      <c r="G13" t="s">
        <v>244</v>
      </c>
      <c r="H13">
        <v>5022</v>
      </c>
      <c r="I13" s="2" t="s">
        <v>85</v>
      </c>
      <c r="J13" t="s">
        <v>69</v>
      </c>
      <c r="K13">
        <v>234</v>
      </c>
      <c r="L13">
        <v>0</v>
      </c>
      <c r="M13">
        <v>18.68</v>
      </c>
      <c r="N13">
        <v>17.149999999999999</v>
      </c>
      <c r="O13">
        <v>0</v>
      </c>
      <c r="P13">
        <v>0.91</v>
      </c>
      <c r="Q13">
        <v>7</v>
      </c>
      <c r="R13">
        <v>1.91</v>
      </c>
      <c r="S13">
        <v>0</v>
      </c>
    </row>
    <row r="14" spans="3:19" x14ac:dyDescent="0.25">
      <c r="C14" t="s">
        <v>142</v>
      </c>
      <c r="D14" t="s">
        <v>170</v>
      </c>
      <c r="E14" t="s">
        <v>251</v>
      </c>
      <c r="F14" t="s">
        <v>17</v>
      </c>
      <c r="G14" t="s">
        <v>245</v>
      </c>
      <c r="H14" t="s">
        <v>53</v>
      </c>
      <c r="I14" t="s">
        <v>54</v>
      </c>
      <c r="J14" t="s">
        <v>69</v>
      </c>
      <c r="K14">
        <v>84</v>
      </c>
      <c r="L14">
        <v>2.9</v>
      </c>
      <c r="M14">
        <v>16.5</v>
      </c>
      <c r="N14">
        <v>0.7</v>
      </c>
      <c r="O14">
        <v>0</v>
      </c>
      <c r="P14">
        <v>2.4</v>
      </c>
      <c r="Q14">
        <v>21</v>
      </c>
      <c r="R14">
        <v>5</v>
      </c>
    </row>
    <row r="15" spans="3:19" x14ac:dyDescent="0.25">
      <c r="C15" t="s">
        <v>141</v>
      </c>
      <c r="D15" t="s">
        <v>170</v>
      </c>
      <c r="E15" t="s">
        <v>251</v>
      </c>
      <c r="F15" t="s">
        <v>17</v>
      </c>
      <c r="G15" t="s">
        <v>246</v>
      </c>
      <c r="H15">
        <v>1080</v>
      </c>
      <c r="I15" t="s">
        <v>87</v>
      </c>
      <c r="J15" t="s">
        <v>69</v>
      </c>
      <c r="K15">
        <v>237</v>
      </c>
      <c r="L15">
        <v>0</v>
      </c>
      <c r="M15">
        <v>18.2</v>
      </c>
      <c r="N15">
        <v>17.7</v>
      </c>
      <c r="O15">
        <v>0</v>
      </c>
      <c r="P15">
        <v>1</v>
      </c>
      <c r="Q15">
        <v>11</v>
      </c>
      <c r="R15">
        <v>3.6</v>
      </c>
    </row>
    <row r="16" spans="3:19" x14ac:dyDescent="0.25">
      <c r="C16" t="s">
        <v>142</v>
      </c>
      <c r="D16" t="s">
        <v>131</v>
      </c>
      <c r="E16" t="s">
        <v>248</v>
      </c>
      <c r="F16" t="s">
        <v>143</v>
      </c>
      <c r="G16" t="s">
        <v>245</v>
      </c>
      <c r="J16" t="s">
        <v>69</v>
      </c>
    </row>
    <row r="17" spans="3:19" x14ac:dyDescent="0.25">
      <c r="C17" t="s">
        <v>141</v>
      </c>
      <c r="D17" t="s">
        <v>170</v>
      </c>
      <c r="F17" t="s">
        <v>185</v>
      </c>
      <c r="G17" t="s">
        <v>246</v>
      </c>
      <c r="J17" t="s">
        <v>69</v>
      </c>
    </row>
    <row r="18" spans="3:19" x14ac:dyDescent="0.25">
      <c r="C18" t="s">
        <v>139</v>
      </c>
      <c r="D18" t="s">
        <v>170</v>
      </c>
      <c r="F18" t="s">
        <v>179</v>
      </c>
      <c r="G18" t="s">
        <v>244</v>
      </c>
      <c r="J18" t="s">
        <v>69</v>
      </c>
    </row>
    <row r="19" spans="3:19" x14ac:dyDescent="0.25">
      <c r="C19" t="s">
        <v>130</v>
      </c>
      <c r="D19" t="s">
        <v>131</v>
      </c>
      <c r="E19" t="s">
        <v>248</v>
      </c>
      <c r="F19" t="s">
        <v>135</v>
      </c>
      <c r="G19" t="s">
        <v>243</v>
      </c>
      <c r="J19" t="s">
        <v>69</v>
      </c>
    </row>
    <row r="20" spans="3:19" x14ac:dyDescent="0.25">
      <c r="C20" t="s">
        <v>138</v>
      </c>
      <c r="D20" t="s">
        <v>131</v>
      </c>
      <c r="E20" t="s">
        <v>248</v>
      </c>
      <c r="F20" t="s">
        <v>135</v>
      </c>
      <c r="G20" t="s">
        <v>243</v>
      </c>
      <c r="J20" t="s">
        <v>69</v>
      </c>
    </row>
    <row r="21" spans="3:19" x14ac:dyDescent="0.25">
      <c r="C21" t="s">
        <v>139</v>
      </c>
      <c r="D21" t="s">
        <v>131</v>
      </c>
      <c r="E21" t="s">
        <v>248</v>
      </c>
      <c r="F21" t="s">
        <v>14</v>
      </c>
      <c r="G21" t="s">
        <v>244</v>
      </c>
      <c r="H21">
        <v>14021</v>
      </c>
      <c r="J21" t="s">
        <v>69</v>
      </c>
      <c r="K21">
        <v>266</v>
      </c>
      <c r="L21">
        <v>50.61</v>
      </c>
      <c r="M21">
        <v>7.64</v>
      </c>
      <c r="N21">
        <v>3.29</v>
      </c>
      <c r="O21">
        <v>2.4</v>
      </c>
      <c r="P21">
        <v>2.0299999999999998</v>
      </c>
      <c r="Q21">
        <v>151</v>
      </c>
      <c r="R21">
        <v>3.74</v>
      </c>
      <c r="S21">
        <v>0</v>
      </c>
    </row>
    <row r="22" spans="3:19" x14ac:dyDescent="0.25">
      <c r="C22" t="s">
        <v>142</v>
      </c>
      <c r="D22" t="s">
        <v>131</v>
      </c>
      <c r="E22" t="s">
        <v>248</v>
      </c>
      <c r="F22" t="s">
        <v>14</v>
      </c>
      <c r="G22" t="s">
        <v>245</v>
      </c>
      <c r="H22" t="s">
        <v>49</v>
      </c>
      <c r="J22" t="s">
        <v>69</v>
      </c>
      <c r="K22">
        <v>273</v>
      </c>
      <c r="L22">
        <v>41.3</v>
      </c>
      <c r="M22">
        <v>11.9</v>
      </c>
      <c r="N22">
        <v>5.4</v>
      </c>
      <c r="O22">
        <v>5.9</v>
      </c>
      <c r="P22">
        <v>2</v>
      </c>
      <c r="Q22">
        <v>83</v>
      </c>
      <c r="R22">
        <v>1.9</v>
      </c>
    </row>
    <row r="23" spans="3:19" x14ac:dyDescent="0.25">
      <c r="C23" t="s">
        <v>141</v>
      </c>
      <c r="D23" t="s">
        <v>131</v>
      </c>
      <c r="E23" t="s">
        <v>248</v>
      </c>
      <c r="F23" t="s">
        <v>14</v>
      </c>
      <c r="G23" t="s">
        <v>246</v>
      </c>
      <c r="H23">
        <v>26</v>
      </c>
      <c r="I23" t="s">
        <v>89</v>
      </c>
      <c r="J23" t="s">
        <v>69</v>
      </c>
      <c r="K23">
        <v>261</v>
      </c>
      <c r="L23">
        <v>51.7</v>
      </c>
      <c r="M23">
        <v>7.7</v>
      </c>
      <c r="N23">
        <v>2</v>
      </c>
      <c r="O23">
        <v>0.3</v>
      </c>
      <c r="P23">
        <v>1.7</v>
      </c>
      <c r="Q23">
        <v>37</v>
      </c>
      <c r="R23">
        <v>1.7</v>
      </c>
      <c r="S23">
        <v>0</v>
      </c>
    </row>
    <row r="24" spans="3:19" x14ac:dyDescent="0.25">
      <c r="C24" t="s">
        <v>130</v>
      </c>
      <c r="D24" t="s">
        <v>199</v>
      </c>
      <c r="E24" t="s">
        <v>256</v>
      </c>
      <c r="F24" t="s">
        <v>201</v>
      </c>
      <c r="G24" t="s">
        <v>243</v>
      </c>
      <c r="I24" t="s">
        <v>228</v>
      </c>
      <c r="J24" t="s">
        <v>69</v>
      </c>
      <c r="K24">
        <v>24</v>
      </c>
      <c r="L24">
        <v>5.0999999999999996</v>
      </c>
      <c r="M24">
        <v>1.45</v>
      </c>
      <c r="N24">
        <v>0.09</v>
      </c>
      <c r="O24">
        <v>2.2000000000000002</v>
      </c>
      <c r="P24">
        <v>1.2</v>
      </c>
      <c r="Q24">
        <v>93</v>
      </c>
      <c r="R24">
        <v>2.34</v>
      </c>
      <c r="S24">
        <v>15.1</v>
      </c>
    </row>
    <row r="25" spans="3:19" x14ac:dyDescent="0.25">
      <c r="C25" t="s">
        <v>211</v>
      </c>
      <c r="D25" t="s">
        <v>199</v>
      </c>
      <c r="E25" t="s">
        <v>256</v>
      </c>
      <c r="F25" t="s">
        <v>201</v>
      </c>
      <c r="G25" t="s">
        <v>243</v>
      </c>
      <c r="I25" t="s">
        <v>228</v>
      </c>
      <c r="J25" t="s">
        <v>69</v>
      </c>
      <c r="K25">
        <v>24</v>
      </c>
      <c r="L25">
        <v>5.0999999999999996</v>
      </c>
      <c r="M25">
        <v>1.45</v>
      </c>
      <c r="N25">
        <v>0.09</v>
      </c>
      <c r="O25">
        <v>2.2000000000000002</v>
      </c>
      <c r="P25">
        <v>1.2</v>
      </c>
      <c r="Q25">
        <v>93</v>
      </c>
      <c r="R25">
        <v>2.34</v>
      </c>
      <c r="S25">
        <v>15.1</v>
      </c>
    </row>
    <row r="26" spans="3:19" x14ac:dyDescent="0.25">
      <c r="C26" t="s">
        <v>130</v>
      </c>
      <c r="D26" t="s">
        <v>199</v>
      </c>
      <c r="E26" t="s">
        <v>256</v>
      </c>
      <c r="F26" t="s">
        <v>45</v>
      </c>
      <c r="G26" t="s">
        <v>243</v>
      </c>
      <c r="I26" t="s">
        <v>11</v>
      </c>
      <c r="J26" t="s">
        <v>69</v>
      </c>
      <c r="K26">
        <v>51</v>
      </c>
      <c r="L26">
        <v>12.34</v>
      </c>
      <c r="M26">
        <v>0.44</v>
      </c>
      <c r="N26">
        <v>0.17</v>
      </c>
      <c r="O26">
        <v>2.8</v>
      </c>
      <c r="P26">
        <v>0.75</v>
      </c>
      <c r="Q26">
        <v>26.5</v>
      </c>
      <c r="R26">
        <v>1.47</v>
      </c>
      <c r="S26">
        <v>15</v>
      </c>
    </row>
    <row r="27" spans="3:19" x14ac:dyDescent="0.25">
      <c r="C27" t="s">
        <v>211</v>
      </c>
      <c r="D27" t="s">
        <v>199</v>
      </c>
      <c r="E27" t="s">
        <v>256</v>
      </c>
      <c r="F27" t="s">
        <v>45</v>
      </c>
      <c r="G27" t="s">
        <v>243</v>
      </c>
      <c r="I27" t="s">
        <v>11</v>
      </c>
      <c r="J27" t="s">
        <v>69</v>
      </c>
      <c r="K27">
        <v>51</v>
      </c>
      <c r="L27">
        <v>12.34</v>
      </c>
      <c r="M27">
        <v>0.44</v>
      </c>
      <c r="N27">
        <v>0.17</v>
      </c>
      <c r="O27">
        <v>2.8</v>
      </c>
      <c r="P27">
        <v>0.75</v>
      </c>
      <c r="Q27">
        <v>26.5</v>
      </c>
      <c r="R27">
        <v>1.47</v>
      </c>
      <c r="S27">
        <v>15</v>
      </c>
    </row>
    <row r="28" spans="3:19" x14ac:dyDescent="0.25">
      <c r="C28" t="s">
        <v>139</v>
      </c>
      <c r="D28" t="s">
        <v>199</v>
      </c>
      <c r="E28" t="s">
        <v>256</v>
      </c>
      <c r="F28" t="s">
        <v>45</v>
      </c>
      <c r="G28" t="s">
        <v>244</v>
      </c>
      <c r="H28">
        <v>11169</v>
      </c>
      <c r="I28" t="s">
        <v>90</v>
      </c>
      <c r="J28" t="s">
        <v>69</v>
      </c>
      <c r="K28">
        <v>41</v>
      </c>
      <c r="L28">
        <v>9.58</v>
      </c>
      <c r="M28">
        <v>0.93</v>
      </c>
      <c r="N28">
        <v>0.24</v>
      </c>
      <c r="O28">
        <v>2.8</v>
      </c>
      <c r="P28">
        <v>0.97</v>
      </c>
      <c r="Q28">
        <v>33</v>
      </c>
      <c r="R28">
        <v>0.3</v>
      </c>
      <c r="S28">
        <v>6</v>
      </c>
    </row>
    <row r="29" spans="3:19" x14ac:dyDescent="0.25">
      <c r="C29" t="s">
        <v>142</v>
      </c>
      <c r="D29" t="s">
        <v>157</v>
      </c>
      <c r="E29" t="s">
        <v>250</v>
      </c>
      <c r="F29" t="s">
        <v>159</v>
      </c>
      <c r="G29" t="s">
        <v>245</v>
      </c>
      <c r="H29" t="s">
        <v>166</v>
      </c>
      <c r="I29" t="s">
        <v>167</v>
      </c>
      <c r="J29" t="s">
        <v>69</v>
      </c>
      <c r="K29">
        <v>146</v>
      </c>
      <c r="L29">
        <v>34.5</v>
      </c>
      <c r="M29">
        <v>0.8</v>
      </c>
      <c r="N29">
        <v>0.2</v>
      </c>
      <c r="O29">
        <v>1.7</v>
      </c>
      <c r="P29">
        <v>0.9</v>
      </c>
      <c r="Q29">
        <v>32</v>
      </c>
      <c r="R29">
        <v>1</v>
      </c>
      <c r="S29">
        <v>45</v>
      </c>
    </row>
    <row r="30" spans="3:19" x14ac:dyDescent="0.25">
      <c r="C30" t="s">
        <v>141</v>
      </c>
      <c r="D30" t="s">
        <v>157</v>
      </c>
      <c r="E30" t="s">
        <v>250</v>
      </c>
      <c r="F30" t="s">
        <v>159</v>
      </c>
      <c r="G30" t="s">
        <v>246</v>
      </c>
      <c r="H30">
        <v>213</v>
      </c>
      <c r="I30" t="s">
        <v>168</v>
      </c>
      <c r="J30" t="s">
        <v>69</v>
      </c>
      <c r="K30">
        <v>149</v>
      </c>
      <c r="L30">
        <v>35.700000000000003</v>
      </c>
      <c r="M30">
        <v>1.2</v>
      </c>
      <c r="N30">
        <v>0.2</v>
      </c>
      <c r="O30">
        <v>1.1000000000000001</v>
      </c>
      <c r="P30">
        <v>0.9</v>
      </c>
      <c r="Q30">
        <v>68</v>
      </c>
      <c r="R30">
        <v>1.9</v>
      </c>
      <c r="S30">
        <v>31</v>
      </c>
    </row>
    <row r="31" spans="3:19" x14ac:dyDescent="0.25">
      <c r="C31" t="s">
        <v>130</v>
      </c>
      <c r="D31" t="s">
        <v>199</v>
      </c>
      <c r="E31" t="s">
        <v>255</v>
      </c>
      <c r="F31" t="s">
        <v>203</v>
      </c>
      <c r="G31" t="s">
        <v>243</v>
      </c>
      <c r="I31" t="s">
        <v>229</v>
      </c>
      <c r="J31" t="s">
        <v>69</v>
      </c>
      <c r="K31">
        <v>19</v>
      </c>
      <c r="L31">
        <v>4.51</v>
      </c>
      <c r="M31">
        <v>0.82</v>
      </c>
      <c r="N31">
        <v>0.1</v>
      </c>
      <c r="O31">
        <v>1.7</v>
      </c>
      <c r="P31">
        <v>0.3</v>
      </c>
      <c r="Q31">
        <v>17</v>
      </c>
      <c r="R31">
        <v>0.34</v>
      </c>
      <c r="S31">
        <v>7.7</v>
      </c>
    </row>
    <row r="32" spans="3:19" x14ac:dyDescent="0.25">
      <c r="C32" t="s">
        <v>130</v>
      </c>
      <c r="D32" t="s">
        <v>170</v>
      </c>
      <c r="E32" t="s">
        <v>251</v>
      </c>
      <c r="F32" t="s">
        <v>15</v>
      </c>
      <c r="G32" t="s">
        <v>243</v>
      </c>
      <c r="I32" t="s">
        <v>93</v>
      </c>
      <c r="J32" t="s">
        <v>69</v>
      </c>
      <c r="K32">
        <v>171</v>
      </c>
      <c r="L32">
        <v>0</v>
      </c>
      <c r="M32">
        <v>19.3</v>
      </c>
      <c r="N32">
        <v>8.44</v>
      </c>
      <c r="O32">
        <v>0</v>
      </c>
      <c r="P32">
        <v>0.9</v>
      </c>
      <c r="Q32">
        <v>7.77</v>
      </c>
      <c r="R32">
        <v>6.7</v>
      </c>
      <c r="S32">
        <v>0</v>
      </c>
    </row>
    <row r="33" spans="3:19" x14ac:dyDescent="0.25">
      <c r="C33" t="s">
        <v>138</v>
      </c>
      <c r="D33" t="s">
        <v>170</v>
      </c>
      <c r="E33" t="s">
        <v>251</v>
      </c>
      <c r="F33" t="s">
        <v>15</v>
      </c>
      <c r="G33" t="s">
        <v>243</v>
      </c>
      <c r="I33" t="s">
        <v>93</v>
      </c>
      <c r="J33" t="s">
        <v>69</v>
      </c>
      <c r="K33">
        <v>171</v>
      </c>
      <c r="L33">
        <v>0</v>
      </c>
      <c r="M33">
        <v>19.3</v>
      </c>
      <c r="N33">
        <v>8.44</v>
      </c>
      <c r="O33">
        <v>0</v>
      </c>
      <c r="P33">
        <v>0.9</v>
      </c>
      <c r="Q33">
        <v>7.77</v>
      </c>
      <c r="R33">
        <v>6.7</v>
      </c>
      <c r="S33">
        <v>0</v>
      </c>
    </row>
    <row r="34" spans="3:19" x14ac:dyDescent="0.25">
      <c r="C34" t="s">
        <v>139</v>
      </c>
      <c r="D34" t="s">
        <v>170</v>
      </c>
      <c r="E34" t="s">
        <v>251</v>
      </c>
      <c r="F34" t="s">
        <v>15</v>
      </c>
      <c r="G34" t="s">
        <v>244</v>
      </c>
      <c r="H34">
        <v>3038</v>
      </c>
      <c r="I34" t="s">
        <v>92</v>
      </c>
      <c r="J34" t="s">
        <v>69</v>
      </c>
      <c r="K34">
        <v>172</v>
      </c>
      <c r="L34">
        <v>0</v>
      </c>
      <c r="M34">
        <v>20.85</v>
      </c>
      <c r="N34">
        <v>9.25</v>
      </c>
      <c r="O34">
        <v>0</v>
      </c>
      <c r="P34">
        <v>1.01</v>
      </c>
      <c r="Q34">
        <v>11</v>
      </c>
      <c r="R34">
        <v>0.74</v>
      </c>
      <c r="S34">
        <v>0</v>
      </c>
    </row>
    <row r="35" spans="3:19" x14ac:dyDescent="0.25">
      <c r="C35" t="s">
        <v>142</v>
      </c>
      <c r="D35" t="s">
        <v>170</v>
      </c>
      <c r="E35" t="s">
        <v>251</v>
      </c>
      <c r="F35" t="s">
        <v>15</v>
      </c>
      <c r="G35" t="s">
        <v>245</v>
      </c>
      <c r="H35" t="s">
        <v>50</v>
      </c>
      <c r="I35" t="s">
        <v>52</v>
      </c>
      <c r="J35" t="s">
        <v>69</v>
      </c>
      <c r="K35">
        <v>152</v>
      </c>
      <c r="L35">
        <v>0</v>
      </c>
      <c r="M35">
        <v>19.899999999999999</v>
      </c>
      <c r="N35">
        <v>8</v>
      </c>
      <c r="O35">
        <v>0</v>
      </c>
      <c r="P35">
        <v>1</v>
      </c>
      <c r="Q35">
        <v>12</v>
      </c>
      <c r="R35">
        <v>0.9</v>
      </c>
      <c r="S35">
        <v>1</v>
      </c>
    </row>
    <row r="36" spans="3:19" x14ac:dyDescent="0.25">
      <c r="C36" t="s">
        <v>139</v>
      </c>
      <c r="D36" t="s">
        <v>199</v>
      </c>
      <c r="F36" t="s">
        <v>216</v>
      </c>
      <c r="G36" t="s">
        <v>244</v>
      </c>
      <c r="J36" t="s">
        <v>69</v>
      </c>
    </row>
    <row r="37" spans="3:19" x14ac:dyDescent="0.25">
      <c r="C37" t="s">
        <v>142</v>
      </c>
      <c r="D37" t="s">
        <v>199</v>
      </c>
      <c r="E37" t="s">
        <v>255</v>
      </c>
      <c r="F37" t="s">
        <v>220</v>
      </c>
      <c r="G37" t="s">
        <v>245</v>
      </c>
      <c r="H37" t="s">
        <v>230</v>
      </c>
      <c r="I37" t="s">
        <v>231</v>
      </c>
      <c r="J37" t="s">
        <v>69</v>
      </c>
      <c r="K37">
        <v>362</v>
      </c>
      <c r="L37">
        <v>2.7</v>
      </c>
      <c r="M37">
        <v>5.2</v>
      </c>
      <c r="N37">
        <v>35.299999999999997</v>
      </c>
      <c r="O37">
        <v>6.5</v>
      </c>
      <c r="P37">
        <v>1</v>
      </c>
      <c r="Q37">
        <v>24</v>
      </c>
      <c r="R37">
        <v>10.7</v>
      </c>
      <c r="S37">
        <v>2</v>
      </c>
    </row>
    <row r="38" spans="3:19" x14ac:dyDescent="0.25">
      <c r="C38" t="s">
        <v>130</v>
      </c>
      <c r="D38" t="s">
        <v>131</v>
      </c>
      <c r="E38" t="s">
        <v>248</v>
      </c>
      <c r="F38" t="s">
        <v>13</v>
      </c>
      <c r="G38" t="s">
        <v>243</v>
      </c>
      <c r="I38" t="s">
        <v>99</v>
      </c>
      <c r="J38" t="s">
        <v>69</v>
      </c>
      <c r="K38">
        <v>343</v>
      </c>
      <c r="L38">
        <v>69.55</v>
      </c>
      <c r="M38">
        <v>8.3000000000000007</v>
      </c>
      <c r="N38">
        <v>4.08</v>
      </c>
      <c r="O38">
        <v>12.8</v>
      </c>
      <c r="P38">
        <v>1.2</v>
      </c>
      <c r="Q38">
        <v>8</v>
      </c>
      <c r="R38">
        <v>2.5499999999999998</v>
      </c>
      <c r="S38">
        <v>0</v>
      </c>
    </row>
    <row r="39" spans="3:19" x14ac:dyDescent="0.25">
      <c r="C39" t="s">
        <v>138</v>
      </c>
      <c r="D39" t="s">
        <v>131</v>
      </c>
      <c r="E39" t="s">
        <v>248</v>
      </c>
      <c r="F39" t="s">
        <v>13</v>
      </c>
      <c r="G39" t="s">
        <v>243</v>
      </c>
      <c r="I39" t="s">
        <v>99</v>
      </c>
      <c r="J39" t="s">
        <v>69</v>
      </c>
      <c r="K39">
        <v>343</v>
      </c>
      <c r="L39">
        <v>69.55</v>
      </c>
      <c r="M39">
        <v>8.3000000000000007</v>
      </c>
      <c r="N39">
        <v>4.08</v>
      </c>
      <c r="O39">
        <v>12.8</v>
      </c>
      <c r="P39">
        <v>1.2</v>
      </c>
      <c r="Q39">
        <v>8</v>
      </c>
      <c r="R39">
        <v>2.5499999999999998</v>
      </c>
      <c r="S39">
        <v>0</v>
      </c>
    </row>
    <row r="40" spans="3:19" x14ac:dyDescent="0.25">
      <c r="C40" t="s">
        <v>139</v>
      </c>
      <c r="D40" t="s">
        <v>131</v>
      </c>
      <c r="E40" t="s">
        <v>248</v>
      </c>
      <c r="F40" t="s">
        <v>13</v>
      </c>
      <c r="G40" t="s">
        <v>244</v>
      </c>
      <c r="H40">
        <v>11075</v>
      </c>
      <c r="I40" t="s">
        <v>151</v>
      </c>
      <c r="J40" t="s">
        <v>69</v>
      </c>
      <c r="K40">
        <v>86</v>
      </c>
      <c r="L40">
        <v>19.02</v>
      </c>
      <c r="M40">
        <v>3.22</v>
      </c>
      <c r="N40">
        <v>1.18</v>
      </c>
      <c r="O40">
        <v>2.7</v>
      </c>
      <c r="P40">
        <v>0.62</v>
      </c>
      <c r="Q40">
        <v>2</v>
      </c>
      <c r="R40">
        <v>0.52</v>
      </c>
      <c r="S40">
        <v>7</v>
      </c>
    </row>
    <row r="41" spans="3:19" x14ac:dyDescent="0.25">
      <c r="C41" t="s">
        <v>142</v>
      </c>
      <c r="D41" t="s">
        <v>131</v>
      </c>
      <c r="E41" t="s">
        <v>248</v>
      </c>
      <c r="F41" t="s">
        <v>13</v>
      </c>
      <c r="G41" t="s">
        <v>245</v>
      </c>
      <c r="H41" t="s">
        <v>264</v>
      </c>
      <c r="I41" t="s">
        <v>100</v>
      </c>
      <c r="J41" t="s">
        <v>69</v>
      </c>
      <c r="K41">
        <v>111</v>
      </c>
      <c r="L41">
        <v>21.1</v>
      </c>
      <c r="M41">
        <v>3.4</v>
      </c>
      <c r="N41">
        <v>1.4</v>
      </c>
      <c r="P41">
        <v>0.7</v>
      </c>
      <c r="Q41">
        <v>10</v>
      </c>
      <c r="R41">
        <v>1.7</v>
      </c>
      <c r="S41">
        <v>13</v>
      </c>
    </row>
    <row r="42" spans="3:19" x14ac:dyDescent="0.25">
      <c r="C42" t="s">
        <v>141</v>
      </c>
      <c r="D42" t="s">
        <v>131</v>
      </c>
      <c r="E42" t="s">
        <v>248</v>
      </c>
      <c r="F42" t="s">
        <v>13</v>
      </c>
      <c r="G42" t="s">
        <v>246</v>
      </c>
      <c r="H42">
        <v>696</v>
      </c>
      <c r="I42" t="s">
        <v>152</v>
      </c>
      <c r="J42" t="s">
        <v>69</v>
      </c>
      <c r="K42" s="3">
        <v>152</v>
      </c>
      <c r="L42">
        <v>34.4</v>
      </c>
      <c r="M42">
        <v>5</v>
      </c>
      <c r="N42">
        <v>2.1</v>
      </c>
      <c r="O42">
        <v>0.8</v>
      </c>
      <c r="P42">
        <v>0.7</v>
      </c>
      <c r="Q42">
        <v>18</v>
      </c>
      <c r="R42">
        <v>1.8</v>
      </c>
    </row>
    <row r="43" spans="3:19" x14ac:dyDescent="0.25">
      <c r="C43" t="s">
        <v>142</v>
      </c>
      <c r="D43" t="s">
        <v>170</v>
      </c>
      <c r="E43" t="s">
        <v>251</v>
      </c>
      <c r="F43" t="s">
        <v>183</v>
      </c>
      <c r="G43" t="s">
        <v>245</v>
      </c>
      <c r="J43" t="s">
        <v>69</v>
      </c>
    </row>
    <row r="44" spans="3:19" x14ac:dyDescent="0.25">
      <c r="C44" t="s">
        <v>139</v>
      </c>
      <c r="D44" t="s">
        <v>199</v>
      </c>
      <c r="E44" t="s">
        <v>255</v>
      </c>
      <c r="F44" t="s">
        <v>214</v>
      </c>
      <c r="G44" t="s">
        <v>244</v>
      </c>
      <c r="H44">
        <v>11138</v>
      </c>
      <c r="I44" t="s">
        <v>232</v>
      </c>
      <c r="J44" t="s">
        <v>69</v>
      </c>
      <c r="K44">
        <v>12</v>
      </c>
      <c r="L44">
        <v>2.16</v>
      </c>
      <c r="M44">
        <v>0.59</v>
      </c>
      <c r="N44">
        <v>0.16</v>
      </c>
      <c r="O44">
        <v>0.7</v>
      </c>
      <c r="P44">
        <v>0.36</v>
      </c>
      <c r="Q44">
        <v>14</v>
      </c>
      <c r="R44">
        <v>0.22</v>
      </c>
      <c r="S44">
        <v>3</v>
      </c>
    </row>
    <row r="45" spans="3:19" x14ac:dyDescent="0.25">
      <c r="C45" t="s">
        <v>141</v>
      </c>
      <c r="D45" t="s">
        <v>157</v>
      </c>
      <c r="E45" t="s">
        <v>250</v>
      </c>
      <c r="F45" t="s">
        <v>161</v>
      </c>
      <c r="G45" t="s">
        <v>246</v>
      </c>
      <c r="H45">
        <v>214</v>
      </c>
      <c r="I45" t="s">
        <v>169</v>
      </c>
      <c r="J45" t="s">
        <v>69</v>
      </c>
      <c r="K45">
        <v>355</v>
      </c>
      <c r="L45">
        <v>85.4</v>
      </c>
      <c r="M45">
        <v>2.1</v>
      </c>
      <c r="N45">
        <v>0.6</v>
      </c>
      <c r="O45">
        <v>2.2000000000000002</v>
      </c>
      <c r="P45">
        <v>2.5</v>
      </c>
      <c r="Q45">
        <v>102</v>
      </c>
      <c r="R45">
        <v>0.7</v>
      </c>
      <c r="S45">
        <v>1</v>
      </c>
    </row>
    <row r="46" spans="3:19" x14ac:dyDescent="0.25">
      <c r="C46" t="s">
        <v>130</v>
      </c>
      <c r="D46" t="s">
        <v>170</v>
      </c>
      <c r="E46" t="s">
        <v>252</v>
      </c>
      <c r="F46" t="s">
        <v>175</v>
      </c>
      <c r="G46" t="s">
        <v>243</v>
      </c>
      <c r="I46" t="s">
        <v>102</v>
      </c>
      <c r="J46" t="s">
        <v>69</v>
      </c>
      <c r="K46">
        <v>145</v>
      </c>
      <c r="L46">
        <v>4.93</v>
      </c>
      <c r="M46">
        <v>12.3</v>
      </c>
      <c r="N46">
        <v>8.6999999999999993</v>
      </c>
      <c r="O46">
        <v>0</v>
      </c>
      <c r="P46">
        <v>1</v>
      </c>
      <c r="Q46">
        <v>46.34</v>
      </c>
      <c r="R46">
        <v>1.75</v>
      </c>
      <c r="S46">
        <v>0</v>
      </c>
    </row>
    <row r="47" spans="3:19" x14ac:dyDescent="0.25">
      <c r="C47" t="s">
        <v>138</v>
      </c>
      <c r="D47" t="s">
        <v>170</v>
      </c>
      <c r="E47" t="s">
        <v>252</v>
      </c>
      <c r="F47" t="s">
        <v>175</v>
      </c>
      <c r="G47" t="s">
        <v>243</v>
      </c>
      <c r="I47" t="s">
        <v>102</v>
      </c>
      <c r="J47" t="s">
        <v>69</v>
      </c>
      <c r="K47">
        <v>145</v>
      </c>
      <c r="L47">
        <v>4.93</v>
      </c>
      <c r="M47">
        <v>12.3</v>
      </c>
      <c r="N47">
        <v>8.6999999999999993</v>
      </c>
      <c r="O47">
        <v>0</v>
      </c>
      <c r="P47">
        <v>1</v>
      </c>
      <c r="Q47">
        <v>46.34</v>
      </c>
      <c r="R47">
        <v>1.75</v>
      </c>
      <c r="S47">
        <v>0</v>
      </c>
    </row>
    <row r="48" spans="3:19" x14ac:dyDescent="0.25">
      <c r="C48" t="s">
        <v>139</v>
      </c>
      <c r="D48" t="s">
        <v>170</v>
      </c>
      <c r="E48" t="s">
        <v>252</v>
      </c>
      <c r="F48" t="s">
        <v>175</v>
      </c>
      <c r="G48" t="s">
        <v>244</v>
      </c>
      <c r="H48">
        <v>2002</v>
      </c>
      <c r="I48" t="s">
        <v>103</v>
      </c>
      <c r="J48" t="s">
        <v>69</v>
      </c>
      <c r="K48">
        <v>147</v>
      </c>
      <c r="L48">
        <v>0.77</v>
      </c>
      <c r="M48">
        <v>12.58</v>
      </c>
      <c r="N48">
        <v>9.94</v>
      </c>
      <c r="O48">
        <v>0</v>
      </c>
      <c r="P48">
        <v>0.86</v>
      </c>
      <c r="Q48">
        <v>53</v>
      </c>
      <c r="R48">
        <v>1.83</v>
      </c>
      <c r="S48">
        <v>0</v>
      </c>
    </row>
    <row r="49" spans="3:19" x14ac:dyDescent="0.25">
      <c r="C49" t="s">
        <v>141</v>
      </c>
      <c r="D49" t="s">
        <v>170</v>
      </c>
      <c r="E49" t="s">
        <v>252</v>
      </c>
      <c r="F49" t="s">
        <v>175</v>
      </c>
      <c r="G49" t="s">
        <v>246</v>
      </c>
      <c r="H49">
        <v>1208</v>
      </c>
      <c r="I49" t="s">
        <v>105</v>
      </c>
      <c r="J49" t="s">
        <v>69</v>
      </c>
      <c r="K49">
        <v>140</v>
      </c>
      <c r="L49">
        <v>0.6</v>
      </c>
      <c r="M49">
        <v>11.8</v>
      </c>
      <c r="N49">
        <v>9.6</v>
      </c>
      <c r="O49">
        <v>0</v>
      </c>
      <c r="P49">
        <v>1</v>
      </c>
      <c r="Q49">
        <v>45</v>
      </c>
      <c r="R49">
        <v>2.6</v>
      </c>
    </row>
    <row r="50" spans="3:19" x14ac:dyDescent="0.25">
      <c r="C50" t="s">
        <v>130</v>
      </c>
      <c r="D50" t="s">
        <v>170</v>
      </c>
      <c r="E50" t="s">
        <v>253</v>
      </c>
      <c r="F50" t="s">
        <v>19</v>
      </c>
      <c r="G50" t="s">
        <v>243</v>
      </c>
      <c r="I50" t="s">
        <v>106</v>
      </c>
      <c r="J50" t="s">
        <v>69</v>
      </c>
      <c r="K50">
        <v>119</v>
      </c>
      <c r="L50">
        <v>0</v>
      </c>
      <c r="M50">
        <v>15.23</v>
      </c>
      <c r="N50">
        <v>5</v>
      </c>
      <c r="O50">
        <v>0</v>
      </c>
      <c r="P50">
        <v>0.96</v>
      </c>
      <c r="Q50">
        <v>8</v>
      </c>
      <c r="R50">
        <v>0.23</v>
      </c>
      <c r="S50">
        <v>0</v>
      </c>
    </row>
    <row r="51" spans="3:19" x14ac:dyDescent="0.25">
      <c r="C51" t="s">
        <v>138</v>
      </c>
      <c r="D51" t="s">
        <v>170</v>
      </c>
      <c r="E51" t="s">
        <v>253</v>
      </c>
      <c r="F51" t="s">
        <v>19</v>
      </c>
      <c r="G51" t="s">
        <v>243</v>
      </c>
      <c r="I51" t="s">
        <v>106</v>
      </c>
      <c r="J51" t="s">
        <v>69</v>
      </c>
      <c r="K51">
        <v>119</v>
      </c>
      <c r="L51">
        <v>0</v>
      </c>
      <c r="M51">
        <v>15.23</v>
      </c>
      <c r="N51">
        <v>5</v>
      </c>
      <c r="O51">
        <v>0</v>
      </c>
      <c r="P51">
        <v>0.96</v>
      </c>
      <c r="Q51">
        <v>8</v>
      </c>
      <c r="R51">
        <v>0.23</v>
      </c>
      <c r="S51">
        <v>0</v>
      </c>
    </row>
    <row r="52" spans="3:19" x14ac:dyDescent="0.25">
      <c r="C52" t="s">
        <v>139</v>
      </c>
      <c r="D52" t="s">
        <v>170</v>
      </c>
      <c r="E52" t="s">
        <v>253</v>
      </c>
      <c r="F52" t="s">
        <v>19</v>
      </c>
      <c r="G52" t="s">
        <v>244</v>
      </c>
      <c r="H52">
        <v>8023</v>
      </c>
      <c r="I52" t="s">
        <v>106</v>
      </c>
      <c r="J52" t="s">
        <v>69</v>
      </c>
      <c r="K52">
        <v>95</v>
      </c>
      <c r="L52">
        <v>0</v>
      </c>
      <c r="M52">
        <v>16.38</v>
      </c>
      <c r="N52">
        <v>2.82</v>
      </c>
      <c r="O52">
        <v>0</v>
      </c>
      <c r="P52">
        <v>0.96</v>
      </c>
      <c r="Q52">
        <v>14</v>
      </c>
      <c r="R52">
        <v>0.3</v>
      </c>
      <c r="S52">
        <v>1</v>
      </c>
    </row>
    <row r="53" spans="3:19" x14ac:dyDescent="0.25">
      <c r="C53" t="s">
        <v>142</v>
      </c>
      <c r="D53" t="s">
        <v>170</v>
      </c>
      <c r="E53" t="s">
        <v>253</v>
      </c>
      <c r="F53" t="s">
        <v>19</v>
      </c>
      <c r="G53" t="s">
        <v>245</v>
      </c>
      <c r="H53" t="s">
        <v>107</v>
      </c>
      <c r="I53" t="s">
        <v>106</v>
      </c>
      <c r="J53" t="s">
        <v>69</v>
      </c>
      <c r="K53">
        <v>102</v>
      </c>
      <c r="L53">
        <v>0</v>
      </c>
      <c r="M53">
        <v>18.5</v>
      </c>
      <c r="N53">
        <v>3.1</v>
      </c>
      <c r="O53">
        <v>0</v>
      </c>
      <c r="P53">
        <v>1.1000000000000001</v>
      </c>
      <c r="Q53">
        <v>44</v>
      </c>
      <c r="R53">
        <v>1</v>
      </c>
      <c r="S53">
        <v>1</v>
      </c>
    </row>
    <row r="54" spans="3:19" x14ac:dyDescent="0.25">
      <c r="C54" t="s">
        <v>141</v>
      </c>
      <c r="D54" t="s">
        <v>170</v>
      </c>
      <c r="E54" t="s">
        <v>253</v>
      </c>
      <c r="F54" t="s">
        <v>19</v>
      </c>
      <c r="G54" t="s">
        <v>246</v>
      </c>
      <c r="H54">
        <v>1255</v>
      </c>
      <c r="I54" t="s">
        <v>106</v>
      </c>
      <c r="J54" t="s">
        <v>69</v>
      </c>
      <c r="K54">
        <v>90</v>
      </c>
      <c r="L54">
        <v>0</v>
      </c>
      <c r="M54">
        <v>17.600000000000001</v>
      </c>
      <c r="N54">
        <v>1.6</v>
      </c>
      <c r="O54">
        <v>0</v>
      </c>
      <c r="P54">
        <v>1.2</v>
      </c>
      <c r="Q54">
        <v>61</v>
      </c>
      <c r="R54">
        <v>1.2</v>
      </c>
    </row>
    <row r="55" spans="3:19" x14ac:dyDescent="0.25">
      <c r="C55" t="s">
        <v>142</v>
      </c>
      <c r="D55" t="s">
        <v>131</v>
      </c>
      <c r="E55" t="s">
        <v>248</v>
      </c>
      <c r="F55" t="s">
        <v>144</v>
      </c>
      <c r="G55" t="s">
        <v>245</v>
      </c>
      <c r="H55" t="s">
        <v>153</v>
      </c>
      <c r="I55" t="s">
        <v>154</v>
      </c>
      <c r="J55" t="s">
        <v>69</v>
      </c>
      <c r="K55">
        <v>354</v>
      </c>
      <c r="L55">
        <v>73.7</v>
      </c>
      <c r="M55">
        <v>11.6</v>
      </c>
      <c r="N55">
        <v>1.3</v>
      </c>
      <c r="O55">
        <v>0.3</v>
      </c>
      <c r="P55">
        <v>0.6</v>
      </c>
      <c r="Q55">
        <v>68</v>
      </c>
      <c r="R55">
        <v>2.8</v>
      </c>
      <c r="S55">
        <v>0</v>
      </c>
    </row>
    <row r="56" spans="3:19" x14ac:dyDescent="0.25">
      <c r="C56" t="s">
        <v>142</v>
      </c>
      <c r="D56" t="s">
        <v>199</v>
      </c>
      <c r="F56" t="s">
        <v>219</v>
      </c>
      <c r="G56" t="s">
        <v>245</v>
      </c>
      <c r="J56" t="s">
        <v>69</v>
      </c>
    </row>
    <row r="57" spans="3:19" x14ac:dyDescent="0.25">
      <c r="C57" t="s">
        <v>139</v>
      </c>
      <c r="D57" t="s">
        <v>170</v>
      </c>
      <c r="E57" t="s">
        <v>253</v>
      </c>
      <c r="F57" t="s">
        <v>181</v>
      </c>
      <c r="G57" t="s">
        <v>244</v>
      </c>
      <c r="H57">
        <v>21104</v>
      </c>
      <c r="I57" t="s">
        <v>198</v>
      </c>
      <c r="J57" t="s">
        <v>69</v>
      </c>
      <c r="K57">
        <v>229</v>
      </c>
      <c r="L57">
        <v>8.0399999999999991</v>
      </c>
      <c r="M57">
        <v>18.09</v>
      </c>
      <c r="N57">
        <v>13.33</v>
      </c>
      <c r="O57">
        <v>0.7</v>
      </c>
      <c r="P57">
        <v>1.26</v>
      </c>
      <c r="Q57">
        <v>44</v>
      </c>
      <c r="R57">
        <v>1.43</v>
      </c>
      <c r="S57">
        <v>0</v>
      </c>
    </row>
    <row r="58" spans="3:19" x14ac:dyDescent="0.25">
      <c r="C58" t="s">
        <v>130</v>
      </c>
      <c r="D58" t="s">
        <v>170</v>
      </c>
      <c r="E58" t="s">
        <v>251</v>
      </c>
      <c r="F58" t="s">
        <v>172</v>
      </c>
      <c r="G58" t="s">
        <v>243</v>
      </c>
      <c r="I58" t="s">
        <v>123</v>
      </c>
      <c r="J58" t="s">
        <v>69</v>
      </c>
      <c r="K58">
        <v>219</v>
      </c>
      <c r="L58">
        <v>0</v>
      </c>
      <c r="M58">
        <v>29.1</v>
      </c>
      <c r="N58">
        <v>1.91</v>
      </c>
      <c r="O58">
        <v>0</v>
      </c>
      <c r="P58">
        <v>1.8</v>
      </c>
      <c r="Q58">
        <v>13</v>
      </c>
      <c r="R58">
        <v>2.83</v>
      </c>
      <c r="S58">
        <v>0</v>
      </c>
    </row>
    <row r="59" spans="3:19" x14ac:dyDescent="0.25">
      <c r="C59" t="s">
        <v>138</v>
      </c>
      <c r="D59" t="s">
        <v>170</v>
      </c>
      <c r="E59" t="s">
        <v>251</v>
      </c>
      <c r="F59" t="s">
        <v>172</v>
      </c>
      <c r="G59" t="s">
        <v>243</v>
      </c>
      <c r="I59" t="s">
        <v>123</v>
      </c>
      <c r="J59" t="s">
        <v>69</v>
      </c>
      <c r="K59">
        <v>219</v>
      </c>
      <c r="L59">
        <v>0</v>
      </c>
      <c r="M59">
        <v>29.1</v>
      </c>
      <c r="N59">
        <v>1.91</v>
      </c>
      <c r="O59">
        <v>0</v>
      </c>
      <c r="P59">
        <v>1.8</v>
      </c>
      <c r="Q59">
        <v>13</v>
      </c>
      <c r="R59">
        <v>2.83</v>
      </c>
      <c r="S59">
        <v>0</v>
      </c>
    </row>
    <row r="60" spans="3:19" x14ac:dyDescent="0.25">
      <c r="C60" t="s">
        <v>141</v>
      </c>
      <c r="D60" t="s">
        <v>170</v>
      </c>
      <c r="E60" t="s">
        <v>251</v>
      </c>
      <c r="F60" t="s">
        <v>172</v>
      </c>
      <c r="G60" t="s">
        <v>246</v>
      </c>
      <c r="J60" t="s">
        <v>69</v>
      </c>
    </row>
    <row r="61" spans="3:19" x14ac:dyDescent="0.25">
      <c r="C61" t="s">
        <v>139</v>
      </c>
      <c r="D61" t="s">
        <v>131</v>
      </c>
      <c r="E61" t="s">
        <v>248</v>
      </c>
      <c r="F61" t="s">
        <v>140</v>
      </c>
      <c r="G61" t="s">
        <v>244</v>
      </c>
      <c r="H61">
        <v>13047</v>
      </c>
      <c r="I61" t="s">
        <v>99</v>
      </c>
      <c r="J61" t="s">
        <v>69</v>
      </c>
      <c r="K61">
        <v>365</v>
      </c>
      <c r="L61">
        <v>74.260000000000005</v>
      </c>
      <c r="M61">
        <v>9.42</v>
      </c>
      <c r="N61">
        <v>4.74</v>
      </c>
      <c r="O61">
        <v>7.3</v>
      </c>
      <c r="P61">
        <v>1.2</v>
      </c>
      <c r="Q61">
        <v>7</v>
      </c>
      <c r="R61">
        <v>2.71</v>
      </c>
      <c r="S61">
        <v>0</v>
      </c>
    </row>
    <row r="62" spans="3:19" x14ac:dyDescent="0.25">
      <c r="C62" t="s">
        <v>141</v>
      </c>
      <c r="D62" t="s">
        <v>131</v>
      </c>
      <c r="E62" t="s">
        <v>248</v>
      </c>
      <c r="F62" t="s">
        <v>140</v>
      </c>
      <c r="G62" t="s">
        <v>246</v>
      </c>
      <c r="H62">
        <v>44</v>
      </c>
      <c r="I62" t="s">
        <v>101</v>
      </c>
      <c r="J62" t="s">
        <v>69</v>
      </c>
      <c r="K62" s="3">
        <v>364</v>
      </c>
      <c r="L62">
        <v>73.599999999999994</v>
      </c>
      <c r="M62">
        <v>10</v>
      </c>
      <c r="N62">
        <v>4.8</v>
      </c>
      <c r="O62">
        <v>2</v>
      </c>
      <c r="P62">
        <v>1.2</v>
      </c>
      <c r="Q62">
        <v>13</v>
      </c>
      <c r="R62">
        <v>4.9000000000000004</v>
      </c>
      <c r="S62">
        <v>4</v>
      </c>
    </row>
    <row r="63" spans="3:19" x14ac:dyDescent="0.25">
      <c r="C63" t="s">
        <v>130</v>
      </c>
      <c r="D63" t="s">
        <v>199</v>
      </c>
      <c r="E63" t="s">
        <v>255</v>
      </c>
      <c r="F63" t="s">
        <v>204</v>
      </c>
      <c r="G63" t="s">
        <v>243</v>
      </c>
      <c r="I63" t="s">
        <v>233</v>
      </c>
      <c r="J63" t="s">
        <v>69</v>
      </c>
      <c r="K63">
        <v>46</v>
      </c>
      <c r="L63">
        <v>15.57</v>
      </c>
      <c r="M63">
        <v>0.98</v>
      </c>
      <c r="N63">
        <v>0.76</v>
      </c>
      <c r="O63">
        <v>5.4</v>
      </c>
      <c r="P63">
        <v>0.73</v>
      </c>
      <c r="Q63">
        <v>33.5</v>
      </c>
      <c r="R63">
        <v>0.85</v>
      </c>
      <c r="S63">
        <v>223.23</v>
      </c>
    </row>
    <row r="64" spans="3:19" x14ac:dyDescent="0.25">
      <c r="C64" t="s">
        <v>141</v>
      </c>
      <c r="D64" t="s">
        <v>199</v>
      </c>
      <c r="E64" t="s">
        <v>256</v>
      </c>
      <c r="F64" t="s">
        <v>222</v>
      </c>
      <c r="G64" t="s">
        <v>246</v>
      </c>
      <c r="H64">
        <v>805</v>
      </c>
      <c r="I64" t="s">
        <v>241</v>
      </c>
      <c r="J64" t="s">
        <v>69</v>
      </c>
      <c r="K64">
        <v>26</v>
      </c>
      <c r="L64">
        <v>5.3</v>
      </c>
      <c r="M64">
        <v>2.1</v>
      </c>
      <c r="N64">
        <v>0.2</v>
      </c>
      <c r="O64">
        <v>0.8</v>
      </c>
      <c r="P64">
        <v>1.8</v>
      </c>
      <c r="Q64">
        <v>61</v>
      </c>
      <c r="R64">
        <v>1.7</v>
      </c>
      <c r="S64">
        <v>46</v>
      </c>
    </row>
    <row r="65" spans="3:19" x14ac:dyDescent="0.25">
      <c r="C65" t="s">
        <v>130</v>
      </c>
      <c r="D65" t="s">
        <v>199</v>
      </c>
      <c r="E65" t="s">
        <v>256</v>
      </c>
      <c r="F65" t="s">
        <v>200</v>
      </c>
      <c r="G65" t="s">
        <v>243</v>
      </c>
      <c r="I65" t="s">
        <v>239</v>
      </c>
      <c r="J65" t="s">
        <v>69</v>
      </c>
      <c r="K65">
        <v>23.5</v>
      </c>
      <c r="L65">
        <v>1.63</v>
      </c>
      <c r="M65">
        <v>2.92</v>
      </c>
      <c r="N65">
        <v>0.24</v>
      </c>
      <c r="O65">
        <v>2.88</v>
      </c>
      <c r="P65">
        <v>1.68</v>
      </c>
      <c r="Q65">
        <v>73.33</v>
      </c>
      <c r="R65">
        <v>4.91</v>
      </c>
      <c r="S65">
        <v>16.2</v>
      </c>
    </row>
    <row r="66" spans="3:19" x14ac:dyDescent="0.25">
      <c r="C66" t="s">
        <v>211</v>
      </c>
      <c r="D66" t="s">
        <v>199</v>
      </c>
      <c r="E66" t="s">
        <v>256</v>
      </c>
      <c r="F66" t="s">
        <v>200</v>
      </c>
      <c r="G66" t="s">
        <v>243</v>
      </c>
      <c r="I66" t="s">
        <v>239</v>
      </c>
      <c r="J66" t="s">
        <v>69</v>
      </c>
      <c r="K66">
        <v>23.5</v>
      </c>
      <c r="L66">
        <v>1.63</v>
      </c>
      <c r="M66">
        <v>2.92</v>
      </c>
      <c r="N66">
        <v>0.24</v>
      </c>
      <c r="O66">
        <v>2.88</v>
      </c>
      <c r="P66">
        <v>1.68</v>
      </c>
      <c r="Q66">
        <v>73.33</v>
      </c>
      <c r="R66">
        <v>4.91</v>
      </c>
      <c r="S66">
        <v>16.2</v>
      </c>
    </row>
    <row r="67" spans="3:19" x14ac:dyDescent="0.25">
      <c r="C67" t="s">
        <v>142</v>
      </c>
      <c r="D67" t="s">
        <v>199</v>
      </c>
      <c r="E67" t="s">
        <v>256</v>
      </c>
      <c r="F67" t="s">
        <v>200</v>
      </c>
      <c r="G67" t="s">
        <v>245</v>
      </c>
      <c r="H67" t="s">
        <v>262</v>
      </c>
      <c r="I67" t="s">
        <v>263</v>
      </c>
      <c r="J67" t="s">
        <v>69</v>
      </c>
      <c r="K67">
        <v>36</v>
      </c>
      <c r="L67">
        <v>2.8</v>
      </c>
      <c r="M67">
        <v>3.9</v>
      </c>
      <c r="N67">
        <v>0.4</v>
      </c>
      <c r="O67">
        <v>2.8</v>
      </c>
      <c r="P67">
        <v>2.2999999999999998</v>
      </c>
      <c r="Q67">
        <v>520</v>
      </c>
      <c r="R67">
        <v>4.9000000000000004</v>
      </c>
      <c r="S67">
        <v>85</v>
      </c>
    </row>
    <row r="68" spans="3:19" x14ac:dyDescent="0.25">
      <c r="C68" t="s">
        <v>130</v>
      </c>
      <c r="D68" t="s">
        <v>199</v>
      </c>
      <c r="E68" t="s">
        <v>255</v>
      </c>
      <c r="F68" t="s">
        <v>209</v>
      </c>
      <c r="G68" t="s">
        <v>243</v>
      </c>
      <c r="I68" t="s">
        <v>234</v>
      </c>
      <c r="J68" t="s">
        <v>69</v>
      </c>
      <c r="K68">
        <v>28</v>
      </c>
      <c r="L68">
        <v>9.2100000000000009</v>
      </c>
      <c r="M68">
        <v>0.78</v>
      </c>
      <c r="O68">
        <v>2.2999999999999998</v>
      </c>
      <c r="P68">
        <v>0.4</v>
      </c>
      <c r="Q68">
        <v>55.33</v>
      </c>
      <c r="R68">
        <v>1.89</v>
      </c>
      <c r="S68">
        <v>38.549999999999997</v>
      </c>
    </row>
    <row r="69" spans="3:19" x14ac:dyDescent="0.25">
      <c r="C69" t="s">
        <v>211</v>
      </c>
      <c r="D69" t="s">
        <v>199</v>
      </c>
      <c r="E69" t="s">
        <v>255</v>
      </c>
      <c r="F69" t="s">
        <v>209</v>
      </c>
      <c r="G69" t="s">
        <v>243</v>
      </c>
      <c r="I69" t="s">
        <v>234</v>
      </c>
      <c r="J69" t="s">
        <v>69</v>
      </c>
      <c r="K69">
        <v>28</v>
      </c>
      <c r="L69">
        <v>9.2100000000000009</v>
      </c>
      <c r="M69">
        <v>0.78</v>
      </c>
      <c r="O69">
        <v>2.2999999999999998</v>
      </c>
      <c r="P69">
        <v>0.4</v>
      </c>
      <c r="Q69">
        <v>55.33</v>
      </c>
      <c r="R69">
        <v>1.89</v>
      </c>
      <c r="S69">
        <v>38.549999999999997</v>
      </c>
    </row>
    <row r="70" spans="3:19" x14ac:dyDescent="0.25">
      <c r="C70" t="s">
        <v>130</v>
      </c>
      <c r="D70" t="s">
        <v>199</v>
      </c>
      <c r="E70" t="s">
        <v>255</v>
      </c>
      <c r="F70" t="s">
        <v>205</v>
      </c>
      <c r="G70" t="s">
        <v>243</v>
      </c>
      <c r="I70" t="s">
        <v>235</v>
      </c>
      <c r="J70" t="s">
        <v>69</v>
      </c>
      <c r="K70">
        <v>44</v>
      </c>
      <c r="L70">
        <v>11.24</v>
      </c>
      <c r="M70">
        <v>1</v>
      </c>
      <c r="N70">
        <v>0.17</v>
      </c>
      <c r="O70">
        <v>1.8</v>
      </c>
      <c r="P70">
        <v>0.4</v>
      </c>
      <c r="Q70">
        <v>64.5</v>
      </c>
      <c r="R70">
        <v>0.34</v>
      </c>
      <c r="S70">
        <v>29.4</v>
      </c>
    </row>
    <row r="71" spans="3:19" x14ac:dyDescent="0.25">
      <c r="C71" t="s">
        <v>142</v>
      </c>
      <c r="D71" t="s">
        <v>170</v>
      </c>
      <c r="E71" t="s">
        <v>251</v>
      </c>
      <c r="F71" t="s">
        <v>182</v>
      </c>
      <c r="G71" t="s">
        <v>245</v>
      </c>
      <c r="J71" t="s">
        <v>69</v>
      </c>
    </row>
    <row r="72" spans="3:19" x14ac:dyDescent="0.25">
      <c r="C72" t="s">
        <v>130</v>
      </c>
      <c r="D72" t="s">
        <v>170</v>
      </c>
      <c r="E72" t="s">
        <v>254</v>
      </c>
      <c r="F72" t="s">
        <v>21</v>
      </c>
      <c r="G72" t="s">
        <v>243</v>
      </c>
      <c r="I72" t="s">
        <v>108</v>
      </c>
      <c r="J72" t="s">
        <v>69</v>
      </c>
      <c r="K72">
        <v>63</v>
      </c>
      <c r="L72">
        <v>4.5999999999999996</v>
      </c>
      <c r="M72">
        <v>3</v>
      </c>
      <c r="N72">
        <v>5.56</v>
      </c>
      <c r="O72">
        <v>0</v>
      </c>
      <c r="P72">
        <v>0.6</v>
      </c>
      <c r="Q72">
        <v>104.08</v>
      </c>
      <c r="R72">
        <v>2.99</v>
      </c>
      <c r="S72">
        <v>0</v>
      </c>
    </row>
    <row r="73" spans="3:19" x14ac:dyDescent="0.25">
      <c r="C73" t="s">
        <v>138</v>
      </c>
      <c r="D73" t="s">
        <v>170</v>
      </c>
      <c r="E73" t="s">
        <v>254</v>
      </c>
      <c r="F73" t="s">
        <v>21</v>
      </c>
      <c r="G73" t="s">
        <v>243</v>
      </c>
      <c r="I73" t="s">
        <v>108</v>
      </c>
      <c r="J73" t="s">
        <v>69</v>
      </c>
      <c r="K73">
        <v>63</v>
      </c>
      <c r="L73">
        <v>4.5999999999999996</v>
      </c>
      <c r="M73">
        <v>3</v>
      </c>
      <c r="N73">
        <v>5.56</v>
      </c>
      <c r="O73">
        <v>0</v>
      </c>
      <c r="P73">
        <v>0.6</v>
      </c>
      <c r="Q73">
        <v>104.08</v>
      </c>
      <c r="R73">
        <v>2.99</v>
      </c>
      <c r="S73">
        <v>0</v>
      </c>
    </row>
    <row r="74" spans="3:19" x14ac:dyDescent="0.25">
      <c r="C74" t="s">
        <v>139</v>
      </c>
      <c r="D74" t="s">
        <v>170</v>
      </c>
      <c r="E74" t="s">
        <v>254</v>
      </c>
      <c r="F74" t="s">
        <v>21</v>
      </c>
      <c r="G74" t="s">
        <v>244</v>
      </c>
      <c r="H74">
        <v>1015</v>
      </c>
      <c r="I74" t="s">
        <v>70</v>
      </c>
      <c r="J74" t="s">
        <v>69</v>
      </c>
      <c r="K74">
        <v>60</v>
      </c>
      <c r="L74">
        <v>4.5199999999999996</v>
      </c>
      <c r="M74">
        <v>3.22</v>
      </c>
      <c r="N74">
        <v>3.25</v>
      </c>
      <c r="O74">
        <v>0</v>
      </c>
      <c r="P74">
        <v>0.69</v>
      </c>
      <c r="Q74">
        <v>113</v>
      </c>
      <c r="R74">
        <v>0.03</v>
      </c>
      <c r="S74">
        <v>0</v>
      </c>
    </row>
    <row r="75" spans="3:19" x14ac:dyDescent="0.25">
      <c r="C75" t="s">
        <v>141</v>
      </c>
      <c r="D75" t="s">
        <v>170</v>
      </c>
      <c r="E75" t="s">
        <v>254</v>
      </c>
      <c r="F75" t="s">
        <v>21</v>
      </c>
      <c r="G75" t="s">
        <v>246</v>
      </c>
      <c r="H75">
        <v>1493</v>
      </c>
      <c r="I75" t="s">
        <v>109</v>
      </c>
      <c r="J75" t="s">
        <v>69</v>
      </c>
      <c r="K75">
        <v>79</v>
      </c>
      <c r="L75">
        <v>5.4</v>
      </c>
      <c r="M75">
        <v>3.8</v>
      </c>
      <c r="N75">
        <v>4.8</v>
      </c>
      <c r="O75">
        <v>0</v>
      </c>
      <c r="P75">
        <v>0.8</v>
      </c>
      <c r="Q75">
        <v>143</v>
      </c>
      <c r="S75">
        <v>1</v>
      </c>
    </row>
    <row r="76" spans="3:19" x14ac:dyDescent="0.25">
      <c r="C76" t="s">
        <v>141</v>
      </c>
      <c r="D76" t="s">
        <v>131</v>
      </c>
      <c r="E76" t="s">
        <v>248</v>
      </c>
      <c r="F76" t="s">
        <v>146</v>
      </c>
      <c r="G76" t="s">
        <v>246</v>
      </c>
      <c r="H76">
        <v>89</v>
      </c>
      <c r="I76" t="s">
        <v>156</v>
      </c>
      <c r="J76" t="s">
        <v>69</v>
      </c>
      <c r="K76">
        <v>329</v>
      </c>
      <c r="L76">
        <v>77.7</v>
      </c>
      <c r="M76">
        <v>7.4</v>
      </c>
      <c r="N76">
        <v>1.3</v>
      </c>
      <c r="O76">
        <v>4.3</v>
      </c>
      <c r="P76">
        <v>2.7</v>
      </c>
      <c r="Q76">
        <v>397</v>
      </c>
      <c r="R76">
        <v>17.100000000000001</v>
      </c>
    </row>
    <row r="77" spans="3:19" x14ac:dyDescent="0.25">
      <c r="C77" t="s">
        <v>130</v>
      </c>
      <c r="D77" t="s">
        <v>131</v>
      </c>
      <c r="E77" t="s">
        <v>248</v>
      </c>
      <c r="F77" t="s">
        <v>132</v>
      </c>
      <c r="G77" t="s">
        <v>243</v>
      </c>
      <c r="I77" t="s">
        <v>147</v>
      </c>
      <c r="J77" t="s">
        <v>69</v>
      </c>
      <c r="K77">
        <v>379</v>
      </c>
      <c r="L77">
        <v>67.7</v>
      </c>
      <c r="M77">
        <v>16.2</v>
      </c>
      <c r="N77">
        <v>5.39</v>
      </c>
      <c r="O77">
        <v>10.1</v>
      </c>
      <c r="P77">
        <v>1.5</v>
      </c>
      <c r="Q77">
        <v>61</v>
      </c>
      <c r="R77">
        <v>3.35</v>
      </c>
      <c r="S77">
        <v>0</v>
      </c>
    </row>
    <row r="78" spans="3:19" x14ac:dyDescent="0.25">
      <c r="C78" t="s">
        <v>139</v>
      </c>
      <c r="D78" t="s">
        <v>131</v>
      </c>
      <c r="E78" t="s">
        <v>248</v>
      </c>
      <c r="F78" t="s">
        <v>132</v>
      </c>
      <c r="G78" t="s">
        <v>244</v>
      </c>
      <c r="H78">
        <v>13008</v>
      </c>
      <c r="I78" t="s">
        <v>148</v>
      </c>
      <c r="J78" t="s">
        <v>69</v>
      </c>
      <c r="K78">
        <v>389</v>
      </c>
      <c r="L78">
        <v>66.27</v>
      </c>
      <c r="M78">
        <v>16.89</v>
      </c>
      <c r="N78">
        <v>6.9</v>
      </c>
      <c r="O78">
        <v>10.6</v>
      </c>
      <c r="P78">
        <v>1.72</v>
      </c>
      <c r="Q78">
        <v>54</v>
      </c>
      <c r="R78">
        <v>4.72</v>
      </c>
      <c r="S78">
        <v>0</v>
      </c>
    </row>
    <row r="79" spans="3:19" x14ac:dyDescent="0.25">
      <c r="C79" t="s">
        <v>130</v>
      </c>
      <c r="D79" t="s">
        <v>199</v>
      </c>
      <c r="E79" t="s">
        <v>255</v>
      </c>
      <c r="F79" t="s">
        <v>207</v>
      </c>
      <c r="G79" t="s">
        <v>243</v>
      </c>
      <c r="I79" t="s">
        <v>207</v>
      </c>
      <c r="J79" t="s">
        <v>69</v>
      </c>
      <c r="K79">
        <v>36.5</v>
      </c>
      <c r="L79">
        <v>9.3000000000000007</v>
      </c>
      <c r="M79">
        <v>0.85</v>
      </c>
      <c r="N79">
        <v>7.0000000000000007E-2</v>
      </c>
      <c r="O79">
        <v>3</v>
      </c>
      <c r="P79">
        <v>0.42</v>
      </c>
      <c r="Q79">
        <v>39.5</v>
      </c>
      <c r="R79">
        <v>0.23</v>
      </c>
      <c r="S79">
        <v>49.05</v>
      </c>
    </row>
    <row r="80" spans="3:19" x14ac:dyDescent="0.25">
      <c r="C80" t="s">
        <v>211</v>
      </c>
      <c r="D80" t="s">
        <v>199</v>
      </c>
      <c r="E80" t="s">
        <v>255</v>
      </c>
      <c r="F80" t="s">
        <v>207</v>
      </c>
      <c r="G80" t="s">
        <v>243</v>
      </c>
      <c r="I80" t="s">
        <v>207</v>
      </c>
      <c r="J80" t="s">
        <v>69</v>
      </c>
      <c r="K80">
        <v>36.5</v>
      </c>
      <c r="L80">
        <v>9.3000000000000007</v>
      </c>
      <c r="M80">
        <v>0.85</v>
      </c>
      <c r="N80">
        <v>7.0000000000000007E-2</v>
      </c>
      <c r="O80">
        <v>3</v>
      </c>
      <c r="P80">
        <v>0.42</v>
      </c>
      <c r="Q80">
        <v>39.5</v>
      </c>
      <c r="R80">
        <v>0.23</v>
      </c>
      <c r="S80">
        <v>49.05</v>
      </c>
    </row>
    <row r="81" spans="3:19" x14ac:dyDescent="0.25">
      <c r="C81" t="s">
        <v>141</v>
      </c>
      <c r="D81" t="s">
        <v>199</v>
      </c>
      <c r="F81" t="s">
        <v>221</v>
      </c>
      <c r="G81" t="s">
        <v>246</v>
      </c>
      <c r="J81" t="s">
        <v>69</v>
      </c>
    </row>
    <row r="82" spans="3:19" x14ac:dyDescent="0.25">
      <c r="C82" t="s">
        <v>141</v>
      </c>
      <c r="D82" t="s">
        <v>199</v>
      </c>
      <c r="F82" t="s">
        <v>224</v>
      </c>
      <c r="G82" t="s">
        <v>246</v>
      </c>
      <c r="J82" t="s">
        <v>69</v>
      </c>
    </row>
    <row r="83" spans="3:19" x14ac:dyDescent="0.25">
      <c r="C83" t="s">
        <v>139</v>
      </c>
      <c r="D83" t="s">
        <v>199</v>
      </c>
      <c r="F83" t="s">
        <v>218</v>
      </c>
      <c r="G83" t="s">
        <v>244</v>
      </c>
      <c r="J83" t="s">
        <v>69</v>
      </c>
    </row>
    <row r="84" spans="3:19" x14ac:dyDescent="0.25">
      <c r="C84" t="s">
        <v>141</v>
      </c>
      <c r="D84" t="s">
        <v>199</v>
      </c>
      <c r="F84" t="s">
        <v>218</v>
      </c>
      <c r="G84" t="s">
        <v>246</v>
      </c>
      <c r="J84" t="s">
        <v>69</v>
      </c>
    </row>
    <row r="85" spans="3:19" x14ac:dyDescent="0.25">
      <c r="C85" t="s">
        <v>141</v>
      </c>
      <c r="D85" t="s">
        <v>170</v>
      </c>
      <c r="E85" t="s">
        <v>251</v>
      </c>
      <c r="F85" t="s">
        <v>184</v>
      </c>
      <c r="G85" t="s">
        <v>246</v>
      </c>
      <c r="J85" t="s">
        <v>69</v>
      </c>
    </row>
    <row r="86" spans="3:19" x14ac:dyDescent="0.25">
      <c r="C86" t="s">
        <v>141</v>
      </c>
      <c r="D86" t="s">
        <v>199</v>
      </c>
      <c r="F86" t="s">
        <v>223</v>
      </c>
      <c r="G86" t="s">
        <v>246</v>
      </c>
      <c r="J86" t="s">
        <v>69</v>
      </c>
    </row>
    <row r="87" spans="3:19" x14ac:dyDescent="0.25">
      <c r="C87" t="s">
        <v>130</v>
      </c>
      <c r="D87" t="s">
        <v>199</v>
      </c>
      <c r="E87" t="s">
        <v>255</v>
      </c>
      <c r="F87" t="s">
        <v>206</v>
      </c>
      <c r="G87" t="s">
        <v>243</v>
      </c>
      <c r="I87" t="s">
        <v>236</v>
      </c>
      <c r="J87" t="s">
        <v>69</v>
      </c>
      <c r="K87">
        <v>33</v>
      </c>
      <c r="L87">
        <v>8.5399999999999991</v>
      </c>
      <c r="M87">
        <v>0.52</v>
      </c>
      <c r="N87">
        <v>0.21</v>
      </c>
      <c r="O87">
        <v>1.1000000000000001</v>
      </c>
      <c r="P87">
        <v>0.6</v>
      </c>
      <c r="Q87">
        <v>17</v>
      </c>
      <c r="R87">
        <v>0.46</v>
      </c>
      <c r="S87">
        <v>40</v>
      </c>
    </row>
    <row r="88" spans="3:19" x14ac:dyDescent="0.25">
      <c r="C88" t="s">
        <v>139</v>
      </c>
      <c r="D88" t="s">
        <v>199</v>
      </c>
      <c r="E88" t="s">
        <v>255</v>
      </c>
      <c r="F88" t="s">
        <v>212</v>
      </c>
      <c r="G88" t="s">
        <v>244</v>
      </c>
      <c r="H88">
        <v>11058</v>
      </c>
      <c r="I88" t="s">
        <v>237</v>
      </c>
      <c r="J88" t="s">
        <v>69</v>
      </c>
      <c r="K88">
        <v>26</v>
      </c>
      <c r="L88">
        <v>6.03</v>
      </c>
      <c r="M88">
        <v>0.99</v>
      </c>
      <c r="N88">
        <v>0.3</v>
      </c>
      <c r="O88">
        <v>2</v>
      </c>
      <c r="P88">
        <v>0.47</v>
      </c>
      <c r="Q88">
        <v>7</v>
      </c>
      <c r="R88">
        <v>0.43</v>
      </c>
      <c r="S88">
        <v>190</v>
      </c>
    </row>
    <row r="89" spans="3:19" x14ac:dyDescent="0.25">
      <c r="C89" t="s">
        <v>130</v>
      </c>
      <c r="D89" t="s">
        <v>170</v>
      </c>
      <c r="E89" t="s">
        <v>251</v>
      </c>
      <c r="F89" t="s">
        <v>16</v>
      </c>
      <c r="G89" t="s">
        <v>243</v>
      </c>
      <c r="I89" t="s">
        <v>242</v>
      </c>
      <c r="J89" t="s">
        <v>69</v>
      </c>
      <c r="K89">
        <v>109</v>
      </c>
      <c r="L89">
        <v>0</v>
      </c>
      <c r="M89">
        <v>22.5</v>
      </c>
      <c r="N89">
        <v>1.86</v>
      </c>
      <c r="O89">
        <v>0</v>
      </c>
      <c r="P89">
        <v>1</v>
      </c>
      <c r="Q89">
        <v>5</v>
      </c>
      <c r="R89">
        <v>0.98</v>
      </c>
      <c r="S89">
        <v>0</v>
      </c>
    </row>
    <row r="90" spans="3:19" ht="18" customHeight="1" x14ac:dyDescent="0.25">
      <c r="C90" t="s">
        <v>138</v>
      </c>
      <c r="D90" t="s">
        <v>170</v>
      </c>
      <c r="E90" t="s">
        <v>251</v>
      </c>
      <c r="F90" t="s">
        <v>16</v>
      </c>
      <c r="G90" t="s">
        <v>243</v>
      </c>
      <c r="I90" t="s">
        <v>242</v>
      </c>
      <c r="J90" t="s">
        <v>69</v>
      </c>
      <c r="K90">
        <v>109</v>
      </c>
      <c r="L90">
        <v>0</v>
      </c>
      <c r="M90">
        <v>22.5</v>
      </c>
      <c r="N90">
        <v>1.86</v>
      </c>
      <c r="O90">
        <v>0</v>
      </c>
      <c r="P90">
        <v>1</v>
      </c>
      <c r="Q90">
        <v>5</v>
      </c>
      <c r="R90">
        <v>0.98</v>
      </c>
      <c r="S90">
        <v>0</v>
      </c>
    </row>
    <row r="91" spans="3:19" x14ac:dyDescent="0.25">
      <c r="C91" t="s">
        <v>139</v>
      </c>
      <c r="D91" t="s">
        <v>170</v>
      </c>
      <c r="E91" t="s">
        <v>251</v>
      </c>
      <c r="F91" t="s">
        <v>16</v>
      </c>
      <c r="G91" t="s">
        <v>244</v>
      </c>
      <c r="H91">
        <v>4003</v>
      </c>
      <c r="I91" t="s">
        <v>114</v>
      </c>
      <c r="J91" t="s">
        <v>69</v>
      </c>
      <c r="K91">
        <v>211</v>
      </c>
      <c r="L91">
        <v>0</v>
      </c>
      <c r="M91">
        <v>19.899999999999999</v>
      </c>
      <c r="N91">
        <v>14.01</v>
      </c>
      <c r="O91">
        <v>0</v>
      </c>
      <c r="P91">
        <v>0.89</v>
      </c>
      <c r="Q91">
        <v>5</v>
      </c>
      <c r="R91">
        <v>0.71</v>
      </c>
      <c r="S91">
        <v>0</v>
      </c>
    </row>
    <row r="92" spans="3:19" x14ac:dyDescent="0.25">
      <c r="C92" t="s">
        <v>142</v>
      </c>
      <c r="D92" t="s">
        <v>170</v>
      </c>
      <c r="E92" t="s">
        <v>251</v>
      </c>
      <c r="F92" t="s">
        <v>16</v>
      </c>
      <c r="G92" t="s">
        <v>245</v>
      </c>
      <c r="H92" t="s">
        <v>115</v>
      </c>
      <c r="I92" t="s">
        <v>116</v>
      </c>
      <c r="J92" t="s">
        <v>69</v>
      </c>
      <c r="K92">
        <v>116</v>
      </c>
      <c r="L92">
        <v>0</v>
      </c>
      <c r="M92">
        <v>21.8</v>
      </c>
      <c r="N92">
        <v>3.2</v>
      </c>
      <c r="O92">
        <v>0</v>
      </c>
      <c r="P92">
        <v>1.3</v>
      </c>
      <c r="Q92">
        <v>4</v>
      </c>
      <c r="R92">
        <v>1</v>
      </c>
      <c r="S92">
        <v>0</v>
      </c>
    </row>
    <row r="93" spans="3:19" x14ac:dyDescent="0.25">
      <c r="C93" t="s">
        <v>141</v>
      </c>
      <c r="D93" t="s">
        <v>170</v>
      </c>
      <c r="E93" t="s">
        <v>251</v>
      </c>
      <c r="F93" t="s">
        <v>16</v>
      </c>
      <c r="G93" t="s">
        <v>246</v>
      </c>
      <c r="H93">
        <v>1172</v>
      </c>
      <c r="I93" t="s">
        <v>117</v>
      </c>
      <c r="J93" t="s">
        <v>69</v>
      </c>
      <c r="K93">
        <v>418</v>
      </c>
      <c r="L93">
        <v>0</v>
      </c>
      <c r="M93">
        <v>12.4</v>
      </c>
      <c r="N93">
        <v>40.5</v>
      </c>
      <c r="O93">
        <v>0</v>
      </c>
      <c r="P93">
        <v>1</v>
      </c>
      <c r="Q93">
        <v>11</v>
      </c>
      <c r="R93">
        <v>1.8</v>
      </c>
    </row>
    <row r="94" spans="3:19" x14ac:dyDescent="0.25">
      <c r="C94" t="s">
        <v>130</v>
      </c>
      <c r="D94" t="s">
        <v>157</v>
      </c>
      <c r="E94" t="s">
        <v>250</v>
      </c>
      <c r="F94" t="s">
        <v>44</v>
      </c>
      <c r="G94" t="s">
        <v>243</v>
      </c>
      <c r="I94" t="s">
        <v>44</v>
      </c>
      <c r="J94" t="s">
        <v>69</v>
      </c>
      <c r="K94">
        <v>70</v>
      </c>
      <c r="L94">
        <v>17.48</v>
      </c>
      <c r="M94">
        <v>1.89</v>
      </c>
      <c r="N94">
        <v>7.0000000000000007E-2</v>
      </c>
      <c r="O94">
        <v>2.2000000000000002</v>
      </c>
      <c r="P94">
        <v>1.04</v>
      </c>
      <c r="Q94">
        <v>13.8</v>
      </c>
      <c r="R94">
        <v>2.2000000000000002</v>
      </c>
      <c r="S94">
        <v>12.79</v>
      </c>
    </row>
    <row r="95" spans="3:19" x14ac:dyDescent="0.25">
      <c r="C95" t="s">
        <v>138</v>
      </c>
      <c r="D95" t="s">
        <v>157</v>
      </c>
      <c r="E95" t="s">
        <v>250</v>
      </c>
      <c r="F95" t="s">
        <v>44</v>
      </c>
      <c r="G95" t="s">
        <v>243</v>
      </c>
      <c r="I95" t="s">
        <v>44</v>
      </c>
      <c r="J95" t="s">
        <v>69</v>
      </c>
      <c r="K95">
        <v>70</v>
      </c>
      <c r="L95">
        <v>17.48</v>
      </c>
      <c r="M95">
        <v>1.89</v>
      </c>
      <c r="N95">
        <v>7.0000000000000007E-2</v>
      </c>
      <c r="O95">
        <v>2.2000000000000002</v>
      </c>
      <c r="P95">
        <v>1.04</v>
      </c>
      <c r="Q95">
        <v>13.8</v>
      </c>
      <c r="R95">
        <v>2.2000000000000002</v>
      </c>
      <c r="S95">
        <v>12.79</v>
      </c>
    </row>
    <row r="96" spans="3:19" x14ac:dyDescent="0.25">
      <c r="C96" t="s">
        <v>139</v>
      </c>
      <c r="D96" t="s">
        <v>157</v>
      </c>
      <c r="E96" t="s">
        <v>250</v>
      </c>
      <c r="F96" t="s">
        <v>44</v>
      </c>
      <c r="G96" t="s">
        <v>244</v>
      </c>
      <c r="H96">
        <v>11127</v>
      </c>
      <c r="I96" t="s">
        <v>119</v>
      </c>
      <c r="J96" t="s">
        <v>69</v>
      </c>
      <c r="K96">
        <v>77</v>
      </c>
      <c r="L96">
        <v>17.47</v>
      </c>
      <c r="M96">
        <v>2.02</v>
      </c>
      <c r="N96">
        <v>0.09</v>
      </c>
      <c r="O96">
        <v>2.2000000000000002</v>
      </c>
      <c r="P96">
        <v>1.08</v>
      </c>
      <c r="Q96">
        <v>12</v>
      </c>
      <c r="R96">
        <v>0.78</v>
      </c>
      <c r="S96">
        <v>20</v>
      </c>
    </row>
    <row r="97" spans="3:19" x14ac:dyDescent="0.25">
      <c r="C97" t="s">
        <v>142</v>
      </c>
      <c r="D97" t="s">
        <v>157</v>
      </c>
      <c r="E97" t="s">
        <v>250</v>
      </c>
      <c r="F97" t="s">
        <v>44</v>
      </c>
      <c r="G97" t="s">
        <v>245</v>
      </c>
      <c r="H97" t="s">
        <v>40</v>
      </c>
      <c r="I97" t="s">
        <v>118</v>
      </c>
      <c r="J97" t="s">
        <v>69</v>
      </c>
      <c r="K97">
        <v>76</v>
      </c>
      <c r="L97">
        <v>15.7</v>
      </c>
      <c r="M97">
        <v>2.2000000000000002</v>
      </c>
      <c r="N97">
        <v>0.1</v>
      </c>
      <c r="O97">
        <v>1.6</v>
      </c>
      <c r="P97">
        <v>1</v>
      </c>
      <c r="Q97">
        <v>24</v>
      </c>
      <c r="R97">
        <v>1.4</v>
      </c>
      <c r="S97">
        <v>30</v>
      </c>
    </row>
    <row r="98" spans="3:19" x14ac:dyDescent="0.25">
      <c r="C98" t="s">
        <v>141</v>
      </c>
      <c r="D98" t="s">
        <v>157</v>
      </c>
      <c r="E98" t="s">
        <v>250</v>
      </c>
      <c r="F98" t="s">
        <v>44</v>
      </c>
      <c r="G98" t="s">
        <v>246</v>
      </c>
      <c r="H98">
        <v>240</v>
      </c>
      <c r="I98" t="s">
        <v>120</v>
      </c>
      <c r="J98" t="s">
        <v>69</v>
      </c>
      <c r="K98">
        <v>82</v>
      </c>
      <c r="L98">
        <v>18.899999999999999</v>
      </c>
      <c r="M98">
        <v>1.7</v>
      </c>
      <c r="N98">
        <v>0.1</v>
      </c>
      <c r="O98">
        <v>0.6</v>
      </c>
      <c r="P98">
        <v>1.6</v>
      </c>
      <c r="Q98">
        <v>0.13</v>
      </c>
      <c r="R98">
        <v>1.1000000000000001</v>
      </c>
      <c r="S98">
        <v>21</v>
      </c>
    </row>
    <row r="99" spans="3:19" x14ac:dyDescent="0.25">
      <c r="C99" t="s">
        <v>130</v>
      </c>
      <c r="D99" t="s">
        <v>170</v>
      </c>
      <c r="E99" t="s">
        <v>254</v>
      </c>
      <c r="F99" t="s">
        <v>178</v>
      </c>
      <c r="G99" t="s">
        <v>243</v>
      </c>
      <c r="I99" t="s">
        <v>194</v>
      </c>
      <c r="J99" t="s">
        <v>69</v>
      </c>
      <c r="K99">
        <v>364</v>
      </c>
      <c r="L99">
        <v>53.16</v>
      </c>
      <c r="M99">
        <v>33.86</v>
      </c>
      <c r="N99">
        <v>0.69</v>
      </c>
      <c r="O99">
        <v>0</v>
      </c>
      <c r="P99">
        <v>7.98</v>
      </c>
      <c r="Q99">
        <v>1080</v>
      </c>
      <c r="R99">
        <v>0.23</v>
      </c>
      <c r="S99">
        <v>6</v>
      </c>
    </row>
    <row r="100" spans="3:19" x14ac:dyDescent="0.25">
      <c r="C100" t="s">
        <v>139</v>
      </c>
      <c r="D100" t="s">
        <v>170</v>
      </c>
      <c r="E100" t="s">
        <v>254</v>
      </c>
      <c r="F100" t="s">
        <v>178</v>
      </c>
      <c r="G100" t="s">
        <v>244</v>
      </c>
      <c r="H100">
        <v>1016</v>
      </c>
      <c r="I100" t="s">
        <v>195</v>
      </c>
      <c r="J100" t="s">
        <v>69</v>
      </c>
      <c r="K100">
        <v>496</v>
      </c>
      <c r="L100">
        <v>38.42</v>
      </c>
      <c r="M100">
        <v>26.32</v>
      </c>
      <c r="N100">
        <v>26.71</v>
      </c>
      <c r="O100">
        <v>0</v>
      </c>
      <c r="P100">
        <v>6.08</v>
      </c>
      <c r="Q100">
        <v>912</v>
      </c>
      <c r="R100">
        <v>0.47</v>
      </c>
      <c r="S100">
        <v>9</v>
      </c>
    </row>
    <row r="101" spans="3:19" x14ac:dyDescent="0.25">
      <c r="C101" t="s">
        <v>141</v>
      </c>
      <c r="D101" t="s">
        <v>170</v>
      </c>
      <c r="E101" t="s">
        <v>254</v>
      </c>
      <c r="F101" t="s">
        <v>178</v>
      </c>
      <c r="G101" t="s">
        <v>246</v>
      </c>
      <c r="H101">
        <v>1497</v>
      </c>
      <c r="I101" s="4" t="s">
        <v>196</v>
      </c>
      <c r="J101" t="s">
        <v>69</v>
      </c>
      <c r="K101">
        <v>353</v>
      </c>
      <c r="L101" s="4">
        <v>58.5</v>
      </c>
      <c r="M101" s="4">
        <v>28.9</v>
      </c>
      <c r="N101" s="4">
        <v>0.4</v>
      </c>
      <c r="O101" s="4">
        <v>0</v>
      </c>
      <c r="P101" s="4">
        <v>7.5</v>
      </c>
      <c r="Q101" s="5">
        <v>1265</v>
      </c>
    </row>
    <row r="102" spans="3:19" x14ac:dyDescent="0.25">
      <c r="C102" t="s">
        <v>130</v>
      </c>
      <c r="D102" t="s">
        <v>131</v>
      </c>
      <c r="E102" t="s">
        <v>248</v>
      </c>
      <c r="F102" t="s">
        <v>23</v>
      </c>
      <c r="G102" t="s">
        <v>243</v>
      </c>
      <c r="I102" t="s">
        <v>74</v>
      </c>
      <c r="J102" t="s">
        <v>69</v>
      </c>
      <c r="K102">
        <v>360</v>
      </c>
      <c r="L102">
        <v>78.099999999999994</v>
      </c>
      <c r="M102">
        <v>7.86</v>
      </c>
      <c r="N102">
        <v>0.56999999999999995</v>
      </c>
      <c r="O102">
        <v>1.3</v>
      </c>
      <c r="P102">
        <v>0.75</v>
      </c>
      <c r="Q102">
        <v>10.5</v>
      </c>
      <c r="R102">
        <v>0.93</v>
      </c>
      <c r="S102">
        <v>0</v>
      </c>
    </row>
    <row r="103" spans="3:19" x14ac:dyDescent="0.25">
      <c r="C103" t="s">
        <v>138</v>
      </c>
      <c r="D103" t="s">
        <v>131</v>
      </c>
      <c r="E103" t="s">
        <v>248</v>
      </c>
      <c r="F103" t="s">
        <v>23</v>
      </c>
      <c r="G103" t="s">
        <v>243</v>
      </c>
      <c r="I103" t="s">
        <v>74</v>
      </c>
      <c r="J103" t="s">
        <v>69</v>
      </c>
      <c r="K103">
        <v>360</v>
      </c>
      <c r="L103">
        <v>78.099999999999994</v>
      </c>
      <c r="M103">
        <v>7.86</v>
      </c>
      <c r="N103">
        <v>0.56999999999999995</v>
      </c>
      <c r="O103">
        <v>1.3</v>
      </c>
      <c r="P103">
        <v>0.75</v>
      </c>
      <c r="Q103">
        <v>10.5</v>
      </c>
      <c r="R103">
        <v>0.93</v>
      </c>
      <c r="S103">
        <v>0</v>
      </c>
    </row>
    <row r="104" spans="3:19" x14ac:dyDescent="0.25">
      <c r="C104" t="s">
        <v>139</v>
      </c>
      <c r="D104" t="s">
        <v>131</v>
      </c>
      <c r="E104" t="s">
        <v>248</v>
      </c>
      <c r="F104" t="s">
        <v>23</v>
      </c>
      <c r="G104" t="s">
        <v>244</v>
      </c>
      <c r="H104">
        <v>13004</v>
      </c>
      <c r="I104" t="s">
        <v>121</v>
      </c>
      <c r="J104" t="s">
        <v>69</v>
      </c>
      <c r="K104">
        <v>360</v>
      </c>
      <c r="L104">
        <v>79.34</v>
      </c>
      <c r="M104">
        <v>6.61</v>
      </c>
      <c r="N104">
        <v>0.57999999999999996</v>
      </c>
      <c r="P104">
        <v>0.57999999999999996</v>
      </c>
      <c r="Q104">
        <v>9</v>
      </c>
      <c r="R104">
        <v>0.8</v>
      </c>
      <c r="S104">
        <v>0</v>
      </c>
    </row>
    <row r="105" spans="3:19" x14ac:dyDescent="0.25">
      <c r="C105" t="s">
        <v>142</v>
      </c>
      <c r="D105" t="s">
        <v>131</v>
      </c>
      <c r="E105" t="s">
        <v>248</v>
      </c>
      <c r="F105" t="s">
        <v>23</v>
      </c>
      <c r="G105" t="s">
        <v>245</v>
      </c>
      <c r="H105" t="s">
        <v>57</v>
      </c>
      <c r="I105" t="s">
        <v>58</v>
      </c>
      <c r="J105" t="s">
        <v>69</v>
      </c>
      <c r="K105">
        <v>354</v>
      </c>
      <c r="L105">
        <v>79.7</v>
      </c>
      <c r="M105">
        <v>6.8</v>
      </c>
      <c r="N105">
        <v>0.7</v>
      </c>
      <c r="O105">
        <v>0.6</v>
      </c>
      <c r="P105">
        <v>0.5</v>
      </c>
      <c r="Q105">
        <v>19</v>
      </c>
      <c r="R105">
        <v>1.2</v>
      </c>
      <c r="S105">
        <v>0</v>
      </c>
    </row>
    <row r="106" spans="3:19" x14ac:dyDescent="0.25">
      <c r="C106" t="s">
        <v>141</v>
      </c>
      <c r="D106" t="s">
        <v>131</v>
      </c>
      <c r="E106" t="s">
        <v>248</v>
      </c>
      <c r="F106" t="s">
        <v>23</v>
      </c>
      <c r="G106" t="s">
        <v>246</v>
      </c>
      <c r="H106">
        <v>119</v>
      </c>
      <c r="I106" t="s">
        <v>122</v>
      </c>
      <c r="J106" t="s">
        <v>69</v>
      </c>
      <c r="K106">
        <v>366</v>
      </c>
      <c r="L106">
        <v>81.599999999999994</v>
      </c>
      <c r="M106">
        <v>6.3</v>
      </c>
      <c r="N106">
        <v>0.3</v>
      </c>
      <c r="O106">
        <v>0.2</v>
      </c>
      <c r="P106">
        <v>0.4</v>
      </c>
      <c r="Q106">
        <v>22</v>
      </c>
      <c r="R106">
        <v>1.7</v>
      </c>
    </row>
    <row r="107" spans="3:19" x14ac:dyDescent="0.25">
      <c r="C107" t="s">
        <v>139</v>
      </c>
      <c r="D107" t="s">
        <v>199</v>
      </c>
      <c r="F107" t="s">
        <v>213</v>
      </c>
      <c r="G107" t="s">
        <v>244</v>
      </c>
      <c r="H107">
        <v>11083</v>
      </c>
      <c r="I107" t="s">
        <v>240</v>
      </c>
      <c r="J107" t="s">
        <v>69</v>
      </c>
      <c r="K107">
        <v>23</v>
      </c>
      <c r="L107">
        <v>3.63</v>
      </c>
      <c r="M107">
        <v>2.86</v>
      </c>
      <c r="N107">
        <v>0.39</v>
      </c>
      <c r="O107">
        <v>2.2000000000000002</v>
      </c>
      <c r="P107">
        <v>1.72</v>
      </c>
      <c r="Q107">
        <v>99</v>
      </c>
      <c r="R107">
        <v>2.71</v>
      </c>
      <c r="S107">
        <v>28</v>
      </c>
    </row>
    <row r="108" spans="3:19" x14ac:dyDescent="0.25">
      <c r="C108" t="s">
        <v>130</v>
      </c>
      <c r="D108" t="s">
        <v>170</v>
      </c>
      <c r="E108" t="s">
        <v>253</v>
      </c>
      <c r="F108" t="s">
        <v>173</v>
      </c>
      <c r="G108" t="s">
        <v>243</v>
      </c>
      <c r="I108" t="s">
        <v>188</v>
      </c>
      <c r="J108" t="s">
        <v>69</v>
      </c>
      <c r="K108">
        <v>123</v>
      </c>
      <c r="L108">
        <v>0.6</v>
      </c>
      <c r="M108">
        <v>14.97</v>
      </c>
      <c r="P108">
        <v>4.8</v>
      </c>
      <c r="Q108">
        <v>127</v>
      </c>
      <c r="R108">
        <v>2.4</v>
      </c>
    </row>
    <row r="109" spans="3:19" x14ac:dyDescent="0.25">
      <c r="C109" t="s">
        <v>130</v>
      </c>
      <c r="D109" t="s">
        <v>170</v>
      </c>
      <c r="E109" t="s">
        <v>251</v>
      </c>
      <c r="F109" t="s">
        <v>176</v>
      </c>
      <c r="G109" t="s">
        <v>243</v>
      </c>
      <c r="I109" t="s">
        <v>189</v>
      </c>
      <c r="J109" t="s">
        <v>69</v>
      </c>
      <c r="K109">
        <v>486</v>
      </c>
      <c r="L109">
        <v>4.5</v>
      </c>
      <c r="M109">
        <v>11.6</v>
      </c>
      <c r="P109">
        <v>3.2</v>
      </c>
      <c r="Q109">
        <v>41</v>
      </c>
      <c r="R109">
        <v>3.7</v>
      </c>
      <c r="S109">
        <v>2</v>
      </c>
    </row>
    <row r="110" spans="3:19" x14ac:dyDescent="0.25">
      <c r="C110" t="s">
        <v>139</v>
      </c>
      <c r="D110" t="s">
        <v>170</v>
      </c>
      <c r="E110" t="s">
        <v>251</v>
      </c>
      <c r="F110" t="s">
        <v>176</v>
      </c>
      <c r="G110" t="s">
        <v>244</v>
      </c>
      <c r="H110">
        <v>7003</v>
      </c>
      <c r="I110" t="s">
        <v>190</v>
      </c>
      <c r="J110" t="s">
        <v>69</v>
      </c>
      <c r="K110">
        <v>278</v>
      </c>
      <c r="L110">
        <v>1.1000000000000001</v>
      </c>
      <c r="M110">
        <v>15.8</v>
      </c>
      <c r="N110">
        <v>22.8</v>
      </c>
      <c r="P110">
        <v>4.2</v>
      </c>
      <c r="Q110">
        <v>41</v>
      </c>
      <c r="R110">
        <v>4.0999999999999996</v>
      </c>
      <c r="S110">
        <v>1</v>
      </c>
    </row>
    <row r="111" spans="3:19" x14ac:dyDescent="0.25">
      <c r="C111" t="s">
        <v>130</v>
      </c>
      <c r="D111" t="s">
        <v>170</v>
      </c>
      <c r="E111" t="s">
        <v>251</v>
      </c>
      <c r="F111" t="s">
        <v>171</v>
      </c>
      <c r="G111" t="s">
        <v>243</v>
      </c>
      <c r="I111" t="s">
        <v>187</v>
      </c>
      <c r="J111" t="s">
        <v>69</v>
      </c>
      <c r="K111">
        <v>243</v>
      </c>
      <c r="L111">
        <v>0.51</v>
      </c>
      <c r="M111">
        <v>23.65</v>
      </c>
      <c r="P111">
        <v>1.94</v>
      </c>
      <c r="Q111">
        <v>6.5</v>
      </c>
      <c r="R111">
        <v>1.9</v>
      </c>
    </row>
    <row r="112" spans="3:19" x14ac:dyDescent="0.25">
      <c r="C112" t="s">
        <v>138</v>
      </c>
      <c r="D112" t="s">
        <v>170</v>
      </c>
      <c r="E112" t="s">
        <v>251</v>
      </c>
      <c r="F112" t="s">
        <v>171</v>
      </c>
      <c r="G112" t="s">
        <v>243</v>
      </c>
      <c r="I112" t="s">
        <v>187</v>
      </c>
      <c r="J112" t="s">
        <v>69</v>
      </c>
      <c r="K112">
        <v>243</v>
      </c>
      <c r="L112">
        <v>0.51</v>
      </c>
      <c r="M112">
        <v>23.65</v>
      </c>
      <c r="P112">
        <v>1.94</v>
      </c>
      <c r="Q112">
        <v>6.5</v>
      </c>
      <c r="R112">
        <v>1.9</v>
      </c>
    </row>
    <row r="113" spans="3:19" x14ac:dyDescent="0.25">
      <c r="C113" t="s">
        <v>139</v>
      </c>
      <c r="D113" t="s">
        <v>170</v>
      </c>
      <c r="E113" t="s">
        <v>253</v>
      </c>
      <c r="F113" t="s">
        <v>180</v>
      </c>
      <c r="G113" t="s">
        <v>244</v>
      </c>
      <c r="H113">
        <v>8005</v>
      </c>
      <c r="I113" t="s">
        <v>197</v>
      </c>
      <c r="J113" t="s">
        <v>69</v>
      </c>
      <c r="K113">
        <v>106</v>
      </c>
      <c r="L113">
        <v>0.91</v>
      </c>
      <c r="M113">
        <v>20.309999999999999</v>
      </c>
      <c r="N113">
        <v>1.73</v>
      </c>
      <c r="O113">
        <v>0</v>
      </c>
      <c r="P113">
        <v>1.2</v>
      </c>
      <c r="Q113">
        <v>52</v>
      </c>
      <c r="R113">
        <v>2.41</v>
      </c>
      <c r="S113">
        <v>2</v>
      </c>
    </row>
    <row r="114" spans="3:19" x14ac:dyDescent="0.25">
      <c r="C114" t="s">
        <v>141</v>
      </c>
      <c r="D114" t="s">
        <v>131</v>
      </c>
      <c r="E114" t="s">
        <v>248</v>
      </c>
      <c r="F114" t="s">
        <v>145</v>
      </c>
      <c r="G114" t="s">
        <v>246</v>
      </c>
      <c r="H114">
        <v>128</v>
      </c>
      <c r="I114" t="s">
        <v>155</v>
      </c>
      <c r="J114" t="s">
        <v>69</v>
      </c>
      <c r="K114">
        <v>342</v>
      </c>
      <c r="L114">
        <v>74</v>
      </c>
      <c r="M114">
        <v>9.8000000000000007</v>
      </c>
      <c r="N114">
        <v>3.2</v>
      </c>
      <c r="O114">
        <v>2.4</v>
      </c>
      <c r="P114">
        <v>2</v>
      </c>
      <c r="Q114">
        <v>40</v>
      </c>
      <c r="R114">
        <v>5.8</v>
      </c>
    </row>
    <row r="115" spans="3:19" x14ac:dyDescent="0.25">
      <c r="C115" t="s">
        <v>130</v>
      </c>
      <c r="D115" t="s">
        <v>199</v>
      </c>
      <c r="E115" t="s">
        <v>255</v>
      </c>
      <c r="F115" t="s">
        <v>202</v>
      </c>
      <c r="G115" t="s">
        <v>243</v>
      </c>
      <c r="I115" t="s">
        <v>238</v>
      </c>
      <c r="J115" t="s">
        <v>69</v>
      </c>
      <c r="K115">
        <v>20</v>
      </c>
      <c r="L115">
        <v>3.55</v>
      </c>
      <c r="M115">
        <v>1.62</v>
      </c>
      <c r="P115">
        <v>0.84</v>
      </c>
    </row>
    <row r="116" spans="3:19" x14ac:dyDescent="0.25">
      <c r="C116" t="s">
        <v>130</v>
      </c>
      <c r="D116" t="s">
        <v>131</v>
      </c>
      <c r="E116" t="s">
        <v>248</v>
      </c>
      <c r="F116" t="s">
        <v>134</v>
      </c>
      <c r="G116" t="s">
        <v>243</v>
      </c>
      <c r="I116" t="s">
        <v>149</v>
      </c>
      <c r="J116" t="s">
        <v>69</v>
      </c>
      <c r="K116">
        <v>381</v>
      </c>
      <c r="L116">
        <v>55.59</v>
      </c>
      <c r="M116">
        <v>9</v>
      </c>
      <c r="O116">
        <v>2.87</v>
      </c>
      <c r="P116">
        <v>0.67</v>
      </c>
      <c r="Q116">
        <v>34</v>
      </c>
      <c r="R116">
        <v>4.17</v>
      </c>
      <c r="S116">
        <v>0</v>
      </c>
    </row>
    <row r="117" spans="3:19" x14ac:dyDescent="0.25">
      <c r="C117" t="s">
        <v>138</v>
      </c>
      <c r="D117" t="s">
        <v>131</v>
      </c>
      <c r="E117" t="s">
        <v>248</v>
      </c>
      <c r="F117" t="s">
        <v>134</v>
      </c>
      <c r="G117" t="s">
        <v>243</v>
      </c>
      <c r="I117" t="s">
        <v>149</v>
      </c>
      <c r="J117" t="s">
        <v>69</v>
      </c>
      <c r="K117">
        <v>381</v>
      </c>
      <c r="L117">
        <v>55.59</v>
      </c>
      <c r="M117">
        <v>9</v>
      </c>
      <c r="O117">
        <v>2.87</v>
      </c>
      <c r="P117">
        <v>0.67</v>
      </c>
      <c r="Q117">
        <v>34</v>
      </c>
      <c r="R117">
        <v>4.17</v>
      </c>
      <c r="S117">
        <v>0</v>
      </c>
    </row>
    <row r="118" spans="3:19" x14ac:dyDescent="0.25">
      <c r="C118" t="s">
        <v>139</v>
      </c>
      <c r="D118" t="s">
        <v>131</v>
      </c>
      <c r="E118" t="s">
        <v>248</v>
      </c>
      <c r="F118" t="s">
        <v>134</v>
      </c>
      <c r="G118" t="s">
        <v>244</v>
      </c>
      <c r="H118">
        <v>14027</v>
      </c>
      <c r="I118" t="s">
        <v>150</v>
      </c>
      <c r="J118" t="s">
        <v>69</v>
      </c>
      <c r="K118">
        <v>340</v>
      </c>
      <c r="L118">
        <v>71</v>
      </c>
      <c r="M118">
        <v>9.3000000000000007</v>
      </c>
      <c r="N118">
        <v>1.2</v>
      </c>
      <c r="P118">
        <v>0.7</v>
      </c>
      <c r="Q118">
        <v>37</v>
      </c>
      <c r="R118">
        <v>1.6</v>
      </c>
    </row>
    <row r="119" spans="3:19" x14ac:dyDescent="0.25">
      <c r="C119" t="s">
        <v>142</v>
      </c>
      <c r="D119" t="s">
        <v>157</v>
      </c>
      <c r="E119" t="s">
        <v>250</v>
      </c>
      <c r="F119" t="s">
        <v>160</v>
      </c>
      <c r="G119" t="s">
        <v>245</v>
      </c>
      <c r="H119" t="s">
        <v>164</v>
      </c>
      <c r="I119" t="s">
        <v>163</v>
      </c>
      <c r="J119" t="s">
        <v>69</v>
      </c>
      <c r="K119">
        <v>103</v>
      </c>
      <c r="L119">
        <v>24.4</v>
      </c>
      <c r="M119">
        <v>0.7</v>
      </c>
      <c r="N119">
        <v>0.3</v>
      </c>
      <c r="P119">
        <v>1</v>
      </c>
      <c r="Q119">
        <v>26</v>
      </c>
      <c r="R119">
        <v>0.9</v>
      </c>
      <c r="S119">
        <v>23</v>
      </c>
    </row>
    <row r="120" spans="3:19" x14ac:dyDescent="0.25">
      <c r="C120" t="s">
        <v>141</v>
      </c>
      <c r="D120" t="s">
        <v>157</v>
      </c>
      <c r="E120" t="s">
        <v>250</v>
      </c>
      <c r="F120" t="s">
        <v>160</v>
      </c>
      <c r="G120" t="s">
        <v>246</v>
      </c>
      <c r="H120">
        <v>246</v>
      </c>
      <c r="I120" t="s">
        <v>165</v>
      </c>
      <c r="J120" t="s">
        <v>69</v>
      </c>
      <c r="K120">
        <v>121</v>
      </c>
      <c r="L120">
        <v>28.5</v>
      </c>
      <c r="M120">
        <v>1.6</v>
      </c>
      <c r="N120">
        <v>0.2</v>
      </c>
      <c r="O120">
        <v>1</v>
      </c>
      <c r="P120">
        <v>0.9</v>
      </c>
      <c r="Q120">
        <v>33</v>
      </c>
      <c r="R120">
        <v>2</v>
      </c>
      <c r="S120">
        <v>37</v>
      </c>
    </row>
    <row r="121" spans="3:19" x14ac:dyDescent="0.25">
      <c r="C121" t="s">
        <v>141</v>
      </c>
      <c r="D121" t="s">
        <v>199</v>
      </c>
      <c r="E121" t="s">
        <v>255</v>
      </c>
      <c r="F121" t="s">
        <v>43</v>
      </c>
      <c r="G121" t="s">
        <v>246</v>
      </c>
      <c r="H121">
        <v>825</v>
      </c>
      <c r="I121" t="s">
        <v>128</v>
      </c>
      <c r="J121" t="s">
        <v>69</v>
      </c>
      <c r="K121">
        <v>21</v>
      </c>
      <c r="L121">
        <v>4.8</v>
      </c>
      <c r="M121">
        <v>1</v>
      </c>
      <c r="N121">
        <v>0.2</v>
      </c>
      <c r="O121">
        <v>0.6</v>
      </c>
      <c r="P121">
        <v>0.5</v>
      </c>
      <c r="Q121">
        <v>10</v>
      </c>
      <c r="R121">
        <v>0.6</v>
      </c>
      <c r="S121">
        <v>26</v>
      </c>
    </row>
    <row r="122" spans="3:19" x14ac:dyDescent="0.25">
      <c r="C122" t="s">
        <v>130</v>
      </c>
      <c r="D122" t="s">
        <v>199</v>
      </c>
      <c r="E122" t="s">
        <v>255</v>
      </c>
      <c r="F122" t="s">
        <v>43</v>
      </c>
      <c r="G122" t="s">
        <v>243</v>
      </c>
      <c r="I122" t="s">
        <v>126</v>
      </c>
      <c r="J122" t="s">
        <v>69</v>
      </c>
      <c r="K122">
        <v>13</v>
      </c>
      <c r="L122">
        <v>1.3</v>
      </c>
      <c r="M122">
        <v>0.69</v>
      </c>
      <c r="N122">
        <v>0.14000000000000001</v>
      </c>
      <c r="O122">
        <v>1.1000000000000001</v>
      </c>
      <c r="P122">
        <v>0.63</v>
      </c>
      <c r="Q122">
        <v>10.5</v>
      </c>
      <c r="R122">
        <v>0.39</v>
      </c>
      <c r="S122">
        <v>17.53</v>
      </c>
    </row>
    <row r="123" spans="3:19" x14ac:dyDescent="0.25">
      <c r="C123" t="s">
        <v>211</v>
      </c>
      <c r="D123" t="s">
        <v>199</v>
      </c>
      <c r="E123" t="s">
        <v>255</v>
      </c>
      <c r="F123" t="s">
        <v>43</v>
      </c>
      <c r="G123" t="s">
        <v>243</v>
      </c>
      <c r="I123" t="s">
        <v>126</v>
      </c>
      <c r="J123" t="s">
        <v>69</v>
      </c>
      <c r="K123">
        <v>13</v>
      </c>
      <c r="L123">
        <v>1.3</v>
      </c>
      <c r="M123">
        <v>0.69</v>
      </c>
      <c r="N123">
        <v>0.14000000000000001</v>
      </c>
      <c r="O123">
        <v>1.1000000000000001</v>
      </c>
      <c r="P123">
        <v>0.63</v>
      </c>
      <c r="Q123">
        <v>10.5</v>
      </c>
      <c r="R123">
        <v>0.39</v>
      </c>
      <c r="S123">
        <v>17.53</v>
      </c>
    </row>
    <row r="124" spans="3:19" x14ac:dyDescent="0.25">
      <c r="C124" t="s">
        <v>139</v>
      </c>
      <c r="D124" t="s">
        <v>199</v>
      </c>
      <c r="E124" t="s">
        <v>255</v>
      </c>
      <c r="F124" t="s">
        <v>43</v>
      </c>
      <c r="G124" t="s">
        <v>244</v>
      </c>
      <c r="H124">
        <v>11157</v>
      </c>
      <c r="I124" t="s">
        <v>127</v>
      </c>
      <c r="J124" t="s">
        <v>69</v>
      </c>
      <c r="K124">
        <v>21</v>
      </c>
      <c r="L124">
        <v>4.5999999999999996</v>
      </c>
      <c r="M124">
        <v>0.8</v>
      </c>
      <c r="N124">
        <v>0.3</v>
      </c>
      <c r="O124">
        <v>1.2</v>
      </c>
      <c r="P124">
        <v>0.5</v>
      </c>
      <c r="Q124">
        <v>7</v>
      </c>
      <c r="R124">
        <v>0.6</v>
      </c>
      <c r="S124">
        <v>23</v>
      </c>
    </row>
    <row r="125" spans="3:19" x14ac:dyDescent="0.25">
      <c r="C125" t="s">
        <v>139</v>
      </c>
      <c r="D125" t="s">
        <v>199</v>
      </c>
      <c r="F125" t="s">
        <v>217</v>
      </c>
      <c r="G125" t="s">
        <v>244</v>
      </c>
      <c r="J125" t="s">
        <v>69</v>
      </c>
    </row>
    <row r="126" spans="3:19" x14ac:dyDescent="0.25">
      <c r="C126" t="s">
        <v>130</v>
      </c>
      <c r="D126" t="s">
        <v>170</v>
      </c>
      <c r="E126" t="s">
        <v>253</v>
      </c>
      <c r="F126" t="s">
        <v>174</v>
      </c>
      <c r="G126" t="s">
        <v>243</v>
      </c>
      <c r="I126" t="s">
        <v>191</v>
      </c>
      <c r="J126" t="s">
        <v>69</v>
      </c>
      <c r="K126">
        <v>84</v>
      </c>
      <c r="L126">
        <v>0</v>
      </c>
      <c r="M126">
        <v>16.23</v>
      </c>
      <c r="N126">
        <v>0.73</v>
      </c>
      <c r="O126">
        <v>0</v>
      </c>
      <c r="P126">
        <v>1.47</v>
      </c>
      <c r="Q126">
        <v>11</v>
      </c>
      <c r="R126">
        <v>1.53</v>
      </c>
      <c r="S126">
        <v>0</v>
      </c>
    </row>
    <row r="127" spans="3:19" x14ac:dyDescent="0.25">
      <c r="C127" t="s">
        <v>139</v>
      </c>
      <c r="D127" t="s">
        <v>170</v>
      </c>
      <c r="E127" t="s">
        <v>253</v>
      </c>
      <c r="F127" t="s">
        <v>174</v>
      </c>
      <c r="G127" t="s">
        <v>244</v>
      </c>
      <c r="H127">
        <v>8020</v>
      </c>
      <c r="I127" t="s">
        <v>192</v>
      </c>
      <c r="J127" t="s">
        <v>69</v>
      </c>
      <c r="K127">
        <v>128</v>
      </c>
      <c r="L127">
        <v>0</v>
      </c>
      <c r="M127">
        <v>23.62</v>
      </c>
      <c r="N127">
        <v>2.97</v>
      </c>
      <c r="O127">
        <v>0</v>
      </c>
      <c r="P127">
        <v>1.46</v>
      </c>
      <c r="Q127">
        <v>14</v>
      </c>
      <c r="R127">
        <v>0.97</v>
      </c>
      <c r="S127">
        <v>0</v>
      </c>
    </row>
    <row r="128" spans="3:19" x14ac:dyDescent="0.25">
      <c r="C128" t="s">
        <v>130</v>
      </c>
      <c r="D128" t="s">
        <v>199</v>
      </c>
      <c r="E128" t="s">
        <v>255</v>
      </c>
      <c r="F128" t="s">
        <v>210</v>
      </c>
      <c r="G128" t="s">
        <v>243</v>
      </c>
      <c r="I128" t="s">
        <v>210</v>
      </c>
      <c r="J128" t="s">
        <v>69</v>
      </c>
      <c r="K128">
        <v>16</v>
      </c>
      <c r="L128">
        <v>3.56</v>
      </c>
      <c r="M128">
        <v>0.37</v>
      </c>
      <c r="N128">
        <v>0.11</v>
      </c>
      <c r="O128">
        <v>0.26</v>
      </c>
      <c r="P128">
        <v>0.3</v>
      </c>
      <c r="Q128">
        <v>6</v>
      </c>
      <c r="R128">
        <v>0.35</v>
      </c>
      <c r="S128">
        <v>10.199999999999999</v>
      </c>
    </row>
    <row r="129" spans="3:19" x14ac:dyDescent="0.25">
      <c r="C129" t="s">
        <v>130</v>
      </c>
      <c r="D129" t="s">
        <v>131</v>
      </c>
      <c r="E129" t="s">
        <v>248</v>
      </c>
      <c r="F129" t="s">
        <v>133</v>
      </c>
      <c r="G129" t="s">
        <v>243</v>
      </c>
      <c r="I129" t="s">
        <v>88</v>
      </c>
      <c r="J129" t="s">
        <v>69</v>
      </c>
      <c r="K129">
        <v>307</v>
      </c>
      <c r="L129">
        <v>58.37</v>
      </c>
      <c r="M129">
        <v>9.3800000000000008</v>
      </c>
      <c r="P129">
        <v>1.83</v>
      </c>
      <c r="Q129">
        <v>108</v>
      </c>
      <c r="R129">
        <v>33.9</v>
      </c>
      <c r="S129">
        <v>0</v>
      </c>
    </row>
    <row r="130" spans="3:19" x14ac:dyDescent="0.25">
      <c r="C130" t="s">
        <v>138</v>
      </c>
      <c r="D130" t="s">
        <v>131</v>
      </c>
      <c r="E130" t="s">
        <v>248</v>
      </c>
      <c r="F130" t="s">
        <v>133</v>
      </c>
      <c r="G130" t="s">
        <v>243</v>
      </c>
      <c r="I130" t="s">
        <v>88</v>
      </c>
      <c r="J130" t="s">
        <v>69</v>
      </c>
      <c r="K130">
        <v>307</v>
      </c>
      <c r="L130">
        <v>58.37</v>
      </c>
      <c r="M130">
        <v>9.3800000000000008</v>
      </c>
      <c r="P130">
        <v>1.83</v>
      </c>
      <c r="Q130">
        <v>108</v>
      </c>
      <c r="R130">
        <v>33.9</v>
      </c>
      <c r="S130">
        <v>0</v>
      </c>
    </row>
    <row r="131" spans="3:19" x14ac:dyDescent="0.25">
      <c r="C131" t="s">
        <v>141</v>
      </c>
      <c r="D131" t="s">
        <v>170</v>
      </c>
      <c r="E131" t="s">
        <v>251</v>
      </c>
      <c r="F131" t="s">
        <v>186</v>
      </c>
      <c r="G131" t="s">
        <v>246</v>
      </c>
      <c r="H131">
        <v>1101</v>
      </c>
      <c r="I131" t="s">
        <v>94</v>
      </c>
      <c r="J131" t="s">
        <v>69</v>
      </c>
      <c r="K131">
        <v>146</v>
      </c>
      <c r="L131">
        <v>0</v>
      </c>
      <c r="M131">
        <v>20.5</v>
      </c>
      <c r="N131">
        <v>6.5</v>
      </c>
      <c r="O131">
        <v>0</v>
      </c>
      <c r="P131">
        <v>1</v>
      </c>
      <c r="Q131">
        <v>10</v>
      </c>
      <c r="R131">
        <v>1.1000000000000001</v>
      </c>
    </row>
    <row r="132" spans="3:19" x14ac:dyDescent="0.25">
      <c r="C132" t="s">
        <v>130</v>
      </c>
      <c r="D132" t="s">
        <v>170</v>
      </c>
      <c r="E132" t="s">
        <v>254</v>
      </c>
      <c r="F132" t="s">
        <v>177</v>
      </c>
      <c r="G132" t="s">
        <v>243</v>
      </c>
      <c r="I132" t="s">
        <v>193</v>
      </c>
      <c r="J132" t="s">
        <v>69</v>
      </c>
      <c r="K132">
        <v>75.900000000000006</v>
      </c>
      <c r="L132">
        <v>12.7</v>
      </c>
      <c r="M132">
        <v>2</v>
      </c>
      <c r="P132">
        <v>0.5</v>
      </c>
      <c r="Q132">
        <v>66.739999999999995</v>
      </c>
      <c r="R132">
        <v>0.11</v>
      </c>
      <c r="S132">
        <v>0</v>
      </c>
    </row>
    <row r="133" spans="3:19" x14ac:dyDescent="0.25">
      <c r="C133" t="s">
        <v>139</v>
      </c>
      <c r="D133" t="s">
        <v>157</v>
      </c>
      <c r="E133" t="s">
        <v>250</v>
      </c>
      <c r="F133" t="s">
        <v>158</v>
      </c>
      <c r="G133" t="s">
        <v>244</v>
      </c>
      <c r="H133">
        <v>11100</v>
      </c>
      <c r="I133" t="s">
        <v>162</v>
      </c>
      <c r="J133" t="s">
        <v>69</v>
      </c>
      <c r="K133">
        <v>61</v>
      </c>
      <c r="L133">
        <v>13.7</v>
      </c>
      <c r="M133">
        <v>2</v>
      </c>
      <c r="N133">
        <v>0.3</v>
      </c>
      <c r="P133">
        <v>0.8</v>
      </c>
      <c r="Q133">
        <v>34</v>
      </c>
      <c r="R133">
        <v>1.4</v>
      </c>
      <c r="S133">
        <v>393</v>
      </c>
    </row>
  </sheetData>
  <autoFilter ref="C2:S133" xr:uid="{0B41CE82-0290-431A-93FD-92E649225239}"/>
  <sortState xmlns:xlrd2="http://schemas.microsoft.com/office/spreadsheetml/2017/richdata2" ref="C3:S133">
    <sortCondition ref="F3:F1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BCE6-CB2D-4994-AFC2-8F9077F94D7B}">
  <dimension ref="A2:AC90"/>
  <sheetViews>
    <sheetView zoomScale="70" zoomScaleNormal="70" workbookViewId="0">
      <selection activeCell="A44" sqref="A44"/>
    </sheetView>
  </sheetViews>
  <sheetFormatPr defaultRowHeight="15" x14ac:dyDescent="0.25"/>
  <cols>
    <col min="1" max="1" width="22.42578125" customWidth="1"/>
    <col min="2" max="2" width="16.42578125" customWidth="1"/>
    <col min="3" max="3" width="15.5703125" customWidth="1"/>
    <col min="4" max="4" width="18.5703125" customWidth="1"/>
    <col min="5" max="5" width="35.5703125" customWidth="1"/>
    <col min="6" max="6" width="55.85546875" customWidth="1"/>
    <col min="7" max="7" width="49" customWidth="1"/>
    <col min="8" max="8" width="17.42578125" customWidth="1"/>
    <col min="9" max="9" width="24.7109375" customWidth="1"/>
    <col min="10" max="10" width="10.7109375" customWidth="1"/>
    <col min="11" max="11" width="15" customWidth="1"/>
    <col min="12" max="12" width="15.42578125" customWidth="1"/>
    <col min="13" max="15" width="13.5703125" customWidth="1"/>
    <col min="16" max="16" width="15" customWidth="1"/>
    <col min="17" max="17" width="13.85546875" customWidth="1"/>
    <col min="18" max="18" width="14.140625" customWidth="1"/>
    <col min="19" max="19" width="5.140625" customWidth="1"/>
    <col min="21" max="21" width="6.5703125" customWidth="1"/>
    <col min="25" max="25" width="12.7109375" customWidth="1"/>
  </cols>
  <sheetData>
    <row r="2" spans="1:29" x14ac:dyDescent="0.25">
      <c r="A2" t="s">
        <v>129</v>
      </c>
      <c r="B2" t="s">
        <v>0</v>
      </c>
      <c r="C2" t="s">
        <v>1</v>
      </c>
      <c r="D2" t="s">
        <v>247</v>
      </c>
      <c r="E2" t="s">
        <v>249</v>
      </c>
      <c r="F2" t="s">
        <v>38</v>
      </c>
      <c r="G2" t="s">
        <v>261</v>
      </c>
      <c r="H2" t="s">
        <v>75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36</v>
      </c>
      <c r="O2" t="s">
        <v>37</v>
      </c>
      <c r="P2" t="s">
        <v>41</v>
      </c>
      <c r="Q2" t="s">
        <v>42</v>
      </c>
      <c r="R2" t="s">
        <v>30</v>
      </c>
    </row>
    <row r="3" spans="1:29" x14ac:dyDescent="0.25">
      <c r="A3" t="s">
        <v>257</v>
      </c>
      <c r="B3" t="s">
        <v>7</v>
      </c>
      <c r="C3" t="s">
        <v>15</v>
      </c>
      <c r="D3" t="s">
        <v>170</v>
      </c>
      <c r="E3" t="s">
        <v>251</v>
      </c>
      <c r="F3" t="s">
        <v>243</v>
      </c>
      <c r="H3" t="s">
        <v>93</v>
      </c>
      <c r="I3" t="s">
        <v>69</v>
      </c>
      <c r="J3">
        <v>171</v>
      </c>
      <c r="K3">
        <v>0</v>
      </c>
      <c r="L3">
        <v>19.3</v>
      </c>
      <c r="M3">
        <v>8.44</v>
      </c>
      <c r="N3">
        <v>0</v>
      </c>
      <c r="O3">
        <v>0.9</v>
      </c>
      <c r="P3">
        <v>7.77</v>
      </c>
      <c r="Q3">
        <v>6.7</v>
      </c>
      <c r="R3">
        <v>0</v>
      </c>
    </row>
    <row r="4" spans="1:29" x14ac:dyDescent="0.25">
      <c r="A4" t="s">
        <v>139</v>
      </c>
      <c r="B4" t="s">
        <v>8</v>
      </c>
      <c r="C4" t="s">
        <v>15</v>
      </c>
      <c r="D4" t="s">
        <v>170</v>
      </c>
      <c r="E4" t="s">
        <v>251</v>
      </c>
      <c r="F4">
        <v>3038</v>
      </c>
      <c r="G4" t="s">
        <v>244</v>
      </c>
      <c r="H4" t="s">
        <v>92</v>
      </c>
      <c r="I4" t="s">
        <v>69</v>
      </c>
      <c r="J4">
        <v>172</v>
      </c>
      <c r="K4">
        <v>0</v>
      </c>
      <c r="L4">
        <v>20.85</v>
      </c>
      <c r="M4">
        <v>9.25</v>
      </c>
      <c r="N4">
        <v>0</v>
      </c>
      <c r="O4">
        <v>1.01</v>
      </c>
      <c r="P4">
        <v>11</v>
      </c>
      <c r="Q4">
        <v>0.74</v>
      </c>
      <c r="R4">
        <v>0</v>
      </c>
      <c r="AA4">
        <f t="shared" ref="AA4:AA5" si="0">V4/1000</f>
        <v>0</v>
      </c>
      <c r="AB4">
        <f t="shared" ref="AB4:AC17" si="1">W4/1000</f>
        <v>0</v>
      </c>
      <c r="AC4">
        <f t="shared" si="1"/>
        <v>0</v>
      </c>
    </row>
    <row r="5" spans="1:29" x14ac:dyDescent="0.25">
      <c r="A5" t="s">
        <v>142</v>
      </c>
      <c r="B5" t="s">
        <v>9</v>
      </c>
      <c r="C5" t="s">
        <v>15</v>
      </c>
      <c r="D5" t="s">
        <v>170</v>
      </c>
      <c r="E5" t="s">
        <v>251</v>
      </c>
      <c r="F5" t="s">
        <v>50</v>
      </c>
      <c r="G5" t="s">
        <v>245</v>
      </c>
      <c r="H5" t="s">
        <v>52</v>
      </c>
      <c r="I5" t="s">
        <v>69</v>
      </c>
      <c r="J5">
        <v>152</v>
      </c>
      <c r="K5">
        <v>0</v>
      </c>
      <c r="L5">
        <v>19.899999999999999</v>
      </c>
      <c r="M5">
        <v>8</v>
      </c>
      <c r="N5">
        <v>0</v>
      </c>
      <c r="O5">
        <v>1</v>
      </c>
      <c r="P5">
        <v>12</v>
      </c>
      <c r="Q5">
        <v>0.9</v>
      </c>
      <c r="R5">
        <v>1</v>
      </c>
      <c r="AA5">
        <f t="shared" si="0"/>
        <v>0</v>
      </c>
      <c r="AB5">
        <f t="shared" si="1"/>
        <v>0</v>
      </c>
      <c r="AC5">
        <f t="shared" si="1"/>
        <v>0</v>
      </c>
    </row>
    <row r="6" spans="1:29" x14ac:dyDescent="0.25">
      <c r="A6" t="s">
        <v>141</v>
      </c>
      <c r="B6" t="s">
        <v>10</v>
      </c>
      <c r="C6" t="s">
        <v>15</v>
      </c>
      <c r="D6" t="s">
        <v>170</v>
      </c>
      <c r="E6" t="s">
        <v>251</v>
      </c>
      <c r="F6">
        <v>1101</v>
      </c>
      <c r="G6" t="s">
        <v>246</v>
      </c>
      <c r="H6" t="s">
        <v>94</v>
      </c>
      <c r="I6" t="s">
        <v>69</v>
      </c>
      <c r="J6">
        <v>146</v>
      </c>
      <c r="K6">
        <v>0</v>
      </c>
      <c r="L6">
        <v>20.5</v>
      </c>
      <c r="M6">
        <v>6.5</v>
      </c>
      <c r="N6">
        <v>0</v>
      </c>
      <c r="O6">
        <v>1</v>
      </c>
      <c r="P6">
        <v>10</v>
      </c>
      <c r="Q6">
        <v>1.1000000000000001</v>
      </c>
      <c r="R6">
        <v>0</v>
      </c>
    </row>
    <row r="7" spans="1:29" x14ac:dyDescent="0.25">
      <c r="A7" t="s">
        <v>257</v>
      </c>
      <c r="B7" t="s">
        <v>7</v>
      </c>
      <c r="C7" t="s">
        <v>16</v>
      </c>
      <c r="D7" t="s">
        <v>170</v>
      </c>
      <c r="E7" t="s">
        <v>251</v>
      </c>
      <c r="F7" t="s">
        <v>243</v>
      </c>
      <c r="H7" t="s">
        <v>113</v>
      </c>
      <c r="I7" t="s">
        <v>69</v>
      </c>
      <c r="J7">
        <v>109</v>
      </c>
      <c r="K7">
        <v>0</v>
      </c>
      <c r="L7">
        <v>22.5</v>
      </c>
      <c r="M7">
        <v>1.86</v>
      </c>
      <c r="N7">
        <v>0</v>
      </c>
      <c r="O7">
        <v>1</v>
      </c>
      <c r="P7">
        <v>5</v>
      </c>
      <c r="Q7">
        <v>0.98</v>
      </c>
      <c r="R7">
        <v>0</v>
      </c>
    </row>
    <row r="8" spans="1:29" x14ac:dyDescent="0.25">
      <c r="A8" t="s">
        <v>139</v>
      </c>
      <c r="B8" t="s">
        <v>8</v>
      </c>
      <c r="C8" t="s">
        <v>16</v>
      </c>
      <c r="D8" t="s">
        <v>170</v>
      </c>
      <c r="E8" t="s">
        <v>251</v>
      </c>
      <c r="F8">
        <v>4003</v>
      </c>
      <c r="G8" t="s">
        <v>244</v>
      </c>
      <c r="H8" t="s">
        <v>114</v>
      </c>
      <c r="I8" t="s">
        <v>69</v>
      </c>
      <c r="J8">
        <v>211</v>
      </c>
      <c r="K8">
        <v>0</v>
      </c>
      <c r="L8">
        <v>19.899999999999999</v>
      </c>
      <c r="M8">
        <v>14.01</v>
      </c>
      <c r="N8">
        <v>0</v>
      </c>
      <c r="O8">
        <v>0.89</v>
      </c>
      <c r="P8">
        <v>5</v>
      </c>
      <c r="Q8">
        <v>0.71</v>
      </c>
      <c r="R8">
        <v>0</v>
      </c>
      <c r="AA8">
        <f t="shared" ref="AA8:AA9" si="2">V8/1000</f>
        <v>0</v>
      </c>
      <c r="AB8">
        <f t="shared" si="1"/>
        <v>0</v>
      </c>
      <c r="AC8">
        <f t="shared" si="1"/>
        <v>0</v>
      </c>
    </row>
    <row r="9" spans="1:29" x14ac:dyDescent="0.25">
      <c r="A9" t="s">
        <v>142</v>
      </c>
      <c r="B9" t="s">
        <v>9</v>
      </c>
      <c r="C9" t="s">
        <v>16</v>
      </c>
      <c r="D9" t="s">
        <v>170</v>
      </c>
      <c r="E9" t="s">
        <v>251</v>
      </c>
      <c r="F9" t="s">
        <v>115</v>
      </c>
      <c r="G9" t="s">
        <v>245</v>
      </c>
      <c r="H9" t="s">
        <v>116</v>
      </c>
      <c r="I9" t="s">
        <v>69</v>
      </c>
      <c r="J9">
        <v>116</v>
      </c>
      <c r="K9">
        <v>0</v>
      </c>
      <c r="L9">
        <v>21.8</v>
      </c>
      <c r="M9">
        <v>3.2</v>
      </c>
      <c r="N9">
        <v>0</v>
      </c>
      <c r="O9">
        <v>1.3</v>
      </c>
      <c r="P9">
        <v>4</v>
      </c>
      <c r="Q9">
        <v>1</v>
      </c>
      <c r="R9">
        <v>0</v>
      </c>
      <c r="AA9">
        <f t="shared" si="2"/>
        <v>0</v>
      </c>
      <c r="AB9">
        <f t="shared" si="1"/>
        <v>0</v>
      </c>
      <c r="AC9">
        <f t="shared" si="1"/>
        <v>0</v>
      </c>
    </row>
    <row r="10" spans="1:29" x14ac:dyDescent="0.25">
      <c r="A10" t="s">
        <v>141</v>
      </c>
      <c r="B10" t="s">
        <v>10</v>
      </c>
      <c r="C10" t="s">
        <v>16</v>
      </c>
      <c r="D10" t="s">
        <v>170</v>
      </c>
      <c r="E10" t="s">
        <v>251</v>
      </c>
      <c r="F10">
        <v>1172</v>
      </c>
      <c r="G10" t="s">
        <v>246</v>
      </c>
      <c r="H10" t="s">
        <v>117</v>
      </c>
      <c r="I10" t="s">
        <v>69</v>
      </c>
      <c r="J10">
        <v>418</v>
      </c>
      <c r="K10">
        <v>0</v>
      </c>
      <c r="L10">
        <v>12.4</v>
      </c>
      <c r="M10">
        <v>40.5</v>
      </c>
      <c r="N10">
        <v>0</v>
      </c>
      <c r="O10">
        <v>1</v>
      </c>
      <c r="P10">
        <v>11</v>
      </c>
      <c r="Q10">
        <v>1.8</v>
      </c>
    </row>
    <row r="11" spans="1:29" x14ac:dyDescent="0.25">
      <c r="A11" t="s">
        <v>257</v>
      </c>
      <c r="B11" t="s">
        <v>7</v>
      </c>
      <c r="C11" t="s">
        <v>18</v>
      </c>
      <c r="D11" t="s">
        <v>170</v>
      </c>
      <c r="E11" t="s">
        <v>251</v>
      </c>
      <c r="F11" t="s">
        <v>243</v>
      </c>
      <c r="H11" t="s">
        <v>123</v>
      </c>
      <c r="I11" t="s">
        <v>69</v>
      </c>
      <c r="J11">
        <v>219</v>
      </c>
      <c r="K11">
        <v>0</v>
      </c>
      <c r="L11">
        <v>29.1</v>
      </c>
      <c r="M11">
        <v>1.91</v>
      </c>
      <c r="N11">
        <v>0</v>
      </c>
      <c r="O11">
        <v>1.8</v>
      </c>
      <c r="P11">
        <v>13</v>
      </c>
      <c r="Q11">
        <v>2.83</v>
      </c>
      <c r="R11">
        <v>0</v>
      </c>
    </row>
    <row r="12" spans="1:29" x14ac:dyDescent="0.25">
      <c r="A12" t="s">
        <v>139</v>
      </c>
      <c r="B12" t="s">
        <v>8</v>
      </c>
      <c r="C12" t="s">
        <v>18</v>
      </c>
      <c r="D12" t="s">
        <v>170</v>
      </c>
      <c r="E12" t="s">
        <v>251</v>
      </c>
      <c r="F12">
        <v>5001</v>
      </c>
      <c r="G12" t="s">
        <v>244</v>
      </c>
      <c r="H12" t="s">
        <v>124</v>
      </c>
      <c r="I12" t="s">
        <v>69</v>
      </c>
      <c r="J12">
        <v>109</v>
      </c>
      <c r="K12">
        <v>0</v>
      </c>
      <c r="L12">
        <v>20.6</v>
      </c>
      <c r="M12">
        <v>2.31</v>
      </c>
      <c r="N12">
        <v>0</v>
      </c>
      <c r="O12">
        <v>1.1100000000000001</v>
      </c>
      <c r="P12">
        <v>13</v>
      </c>
      <c r="Q12">
        <v>2.83</v>
      </c>
      <c r="R12">
        <v>0</v>
      </c>
      <c r="AA12">
        <f t="shared" ref="AA12:AA13" si="3">V12/1000</f>
        <v>0</v>
      </c>
      <c r="AB12">
        <f t="shared" si="1"/>
        <v>0</v>
      </c>
      <c r="AC12">
        <f t="shared" si="1"/>
        <v>0</v>
      </c>
    </row>
    <row r="13" spans="1:29" x14ac:dyDescent="0.25">
      <c r="A13" t="s">
        <v>142</v>
      </c>
      <c r="B13" t="s">
        <v>9</v>
      </c>
      <c r="C13" t="s">
        <v>18</v>
      </c>
      <c r="D13" t="s">
        <v>170</v>
      </c>
      <c r="E13" t="s">
        <v>251</v>
      </c>
      <c r="G13" t="s">
        <v>245</v>
      </c>
      <c r="I13" t="s">
        <v>69</v>
      </c>
      <c r="AA13">
        <f t="shared" si="3"/>
        <v>0</v>
      </c>
      <c r="AB13">
        <f t="shared" si="1"/>
        <v>0</v>
      </c>
      <c r="AC13">
        <f t="shared" si="1"/>
        <v>0</v>
      </c>
    </row>
    <row r="14" spans="1:29" x14ac:dyDescent="0.25">
      <c r="A14" t="s">
        <v>141</v>
      </c>
      <c r="B14" t="s">
        <v>10</v>
      </c>
      <c r="C14" t="s">
        <v>18</v>
      </c>
      <c r="D14" t="s">
        <v>170</v>
      </c>
      <c r="E14" t="s">
        <v>251</v>
      </c>
      <c r="G14" t="s">
        <v>246</v>
      </c>
      <c r="I14" t="s">
        <v>69</v>
      </c>
    </row>
    <row r="15" spans="1:29" x14ac:dyDescent="0.25">
      <c r="A15" t="s">
        <v>257</v>
      </c>
      <c r="B15" t="s">
        <v>7</v>
      </c>
      <c r="C15" t="s">
        <v>19</v>
      </c>
      <c r="D15" t="s">
        <v>170</v>
      </c>
      <c r="E15" t="s">
        <v>253</v>
      </c>
      <c r="F15" t="s">
        <v>243</v>
      </c>
      <c r="H15" t="s">
        <v>106</v>
      </c>
      <c r="I15" t="s">
        <v>69</v>
      </c>
      <c r="J15">
        <v>119</v>
      </c>
      <c r="K15">
        <v>0</v>
      </c>
      <c r="L15">
        <v>15.23</v>
      </c>
      <c r="M15">
        <v>5</v>
      </c>
      <c r="N15">
        <v>0</v>
      </c>
      <c r="O15">
        <v>0.96</v>
      </c>
      <c r="P15">
        <v>8</v>
      </c>
      <c r="Q15">
        <v>0.23</v>
      </c>
      <c r="R15">
        <v>0</v>
      </c>
    </row>
    <row r="16" spans="1:29" x14ac:dyDescent="0.25">
      <c r="A16" t="s">
        <v>139</v>
      </c>
      <c r="B16" t="s">
        <v>8</v>
      </c>
      <c r="C16" t="s">
        <v>19</v>
      </c>
      <c r="D16" t="s">
        <v>170</v>
      </c>
      <c r="E16" t="s">
        <v>253</v>
      </c>
      <c r="F16">
        <v>8023</v>
      </c>
      <c r="G16" t="s">
        <v>244</v>
      </c>
      <c r="H16" t="s">
        <v>106</v>
      </c>
      <c r="I16" t="s">
        <v>69</v>
      </c>
      <c r="J16">
        <v>95</v>
      </c>
      <c r="K16">
        <v>0</v>
      </c>
      <c r="L16">
        <v>16.38</v>
      </c>
      <c r="M16">
        <v>2.82</v>
      </c>
      <c r="N16">
        <v>0</v>
      </c>
      <c r="O16">
        <v>0.96</v>
      </c>
      <c r="P16">
        <v>14</v>
      </c>
      <c r="Q16">
        <v>0.3</v>
      </c>
      <c r="R16">
        <v>1</v>
      </c>
      <c r="AA16">
        <f t="shared" ref="AA16:AA17" si="4">V16/1000</f>
        <v>0</v>
      </c>
      <c r="AB16">
        <f t="shared" si="1"/>
        <v>0</v>
      </c>
      <c r="AC16">
        <f t="shared" si="1"/>
        <v>0</v>
      </c>
    </row>
    <row r="17" spans="1:29" x14ac:dyDescent="0.25">
      <c r="A17" t="s">
        <v>142</v>
      </c>
      <c r="B17" t="s">
        <v>9</v>
      </c>
      <c r="C17" t="s">
        <v>19</v>
      </c>
      <c r="D17" t="s">
        <v>170</v>
      </c>
      <c r="E17" t="s">
        <v>253</v>
      </c>
      <c r="F17" t="s">
        <v>107</v>
      </c>
      <c r="G17" t="s">
        <v>245</v>
      </c>
      <c r="H17" t="s">
        <v>106</v>
      </c>
      <c r="I17" t="s">
        <v>69</v>
      </c>
      <c r="J17">
        <v>102</v>
      </c>
      <c r="K17">
        <v>0</v>
      </c>
      <c r="L17">
        <v>18.5</v>
      </c>
      <c r="M17">
        <v>3.1</v>
      </c>
      <c r="N17">
        <v>0</v>
      </c>
      <c r="O17">
        <v>1.1000000000000001</v>
      </c>
      <c r="P17">
        <v>44</v>
      </c>
      <c r="Q17">
        <v>1</v>
      </c>
      <c r="R17">
        <v>1</v>
      </c>
      <c r="AA17">
        <f t="shared" si="4"/>
        <v>0</v>
      </c>
      <c r="AB17">
        <f t="shared" si="1"/>
        <v>0</v>
      </c>
      <c r="AC17">
        <f t="shared" si="1"/>
        <v>0</v>
      </c>
    </row>
    <row r="18" spans="1:29" x14ac:dyDescent="0.25">
      <c r="A18" t="s">
        <v>141</v>
      </c>
      <c r="B18" t="s">
        <v>10</v>
      </c>
      <c r="C18" t="s">
        <v>19</v>
      </c>
      <c r="D18" t="s">
        <v>170</v>
      </c>
      <c r="E18" t="s">
        <v>253</v>
      </c>
      <c r="F18">
        <v>1255</v>
      </c>
      <c r="G18" t="s">
        <v>246</v>
      </c>
      <c r="H18" t="s">
        <v>106</v>
      </c>
      <c r="I18" t="s">
        <v>69</v>
      </c>
      <c r="J18">
        <v>90</v>
      </c>
      <c r="K18">
        <v>0</v>
      </c>
      <c r="L18">
        <v>17.600000000000001</v>
      </c>
      <c r="M18">
        <v>1.6</v>
      </c>
      <c r="N18">
        <v>0</v>
      </c>
      <c r="O18">
        <v>1.2</v>
      </c>
      <c r="P18">
        <v>61</v>
      </c>
      <c r="Q18">
        <v>1.2</v>
      </c>
    </row>
    <row r="19" spans="1:29" x14ac:dyDescent="0.25">
      <c r="A19" t="s">
        <v>257</v>
      </c>
      <c r="B19" t="s">
        <v>7</v>
      </c>
      <c r="C19" t="s">
        <v>20</v>
      </c>
      <c r="D19" t="s">
        <v>170</v>
      </c>
      <c r="E19" t="s">
        <v>252</v>
      </c>
      <c r="F19" t="s">
        <v>243</v>
      </c>
      <c r="H19" t="s">
        <v>102</v>
      </c>
      <c r="I19" t="s">
        <v>69</v>
      </c>
      <c r="J19">
        <v>145</v>
      </c>
      <c r="K19">
        <v>4.93</v>
      </c>
      <c r="L19">
        <v>12.3</v>
      </c>
      <c r="M19">
        <v>8.6999999999999993</v>
      </c>
      <c r="N19">
        <v>0</v>
      </c>
      <c r="O19">
        <v>1</v>
      </c>
      <c r="P19">
        <v>46.34</v>
      </c>
      <c r="Q19">
        <v>1.75</v>
      </c>
      <c r="R19">
        <v>0</v>
      </c>
    </row>
    <row r="20" spans="1:29" x14ac:dyDescent="0.25">
      <c r="A20" t="s">
        <v>139</v>
      </c>
      <c r="B20" t="s">
        <v>8</v>
      </c>
      <c r="C20" t="s">
        <v>20</v>
      </c>
      <c r="D20" t="s">
        <v>170</v>
      </c>
      <c r="E20" t="s">
        <v>252</v>
      </c>
      <c r="F20">
        <v>2002</v>
      </c>
      <c r="G20" t="s">
        <v>244</v>
      </c>
      <c r="H20" t="s">
        <v>103</v>
      </c>
      <c r="I20" t="s">
        <v>69</v>
      </c>
      <c r="J20">
        <v>147</v>
      </c>
      <c r="K20">
        <v>0.77</v>
      </c>
      <c r="L20">
        <v>12.58</v>
      </c>
      <c r="M20">
        <v>9.94</v>
      </c>
      <c r="N20">
        <v>0</v>
      </c>
      <c r="O20">
        <v>0.86</v>
      </c>
      <c r="P20">
        <v>53</v>
      </c>
      <c r="Q20">
        <v>1.83</v>
      </c>
      <c r="R20">
        <v>0</v>
      </c>
      <c r="AA20">
        <f t="shared" ref="AA20:AC21" si="5">V20/1000</f>
        <v>0</v>
      </c>
      <c r="AB20">
        <f t="shared" si="5"/>
        <v>0</v>
      </c>
      <c r="AC20">
        <f t="shared" si="5"/>
        <v>0</v>
      </c>
    </row>
    <row r="21" spans="1:29" x14ac:dyDescent="0.25">
      <c r="A21" t="s">
        <v>142</v>
      </c>
      <c r="B21" t="s">
        <v>9</v>
      </c>
      <c r="C21" t="s">
        <v>20</v>
      </c>
      <c r="D21" t="s">
        <v>170</v>
      </c>
      <c r="E21" t="s">
        <v>252</v>
      </c>
      <c r="F21" t="s">
        <v>55</v>
      </c>
      <c r="G21" t="s">
        <v>245</v>
      </c>
      <c r="H21" t="s">
        <v>104</v>
      </c>
      <c r="I21" t="s">
        <v>69</v>
      </c>
      <c r="J21">
        <v>159</v>
      </c>
      <c r="K21">
        <v>1.5</v>
      </c>
      <c r="L21">
        <v>13.2</v>
      </c>
      <c r="M21">
        <v>11.1</v>
      </c>
      <c r="N21">
        <v>0</v>
      </c>
      <c r="O21">
        <v>1.3</v>
      </c>
      <c r="P21">
        <v>56</v>
      </c>
      <c r="Q21">
        <v>2.8</v>
      </c>
      <c r="R21">
        <v>0</v>
      </c>
      <c r="AA21">
        <f t="shared" si="5"/>
        <v>0</v>
      </c>
      <c r="AB21">
        <f t="shared" si="5"/>
        <v>0</v>
      </c>
      <c r="AC21">
        <f t="shared" si="5"/>
        <v>0</v>
      </c>
    </row>
    <row r="22" spans="1:29" x14ac:dyDescent="0.25">
      <c r="A22" t="s">
        <v>141</v>
      </c>
      <c r="B22" t="s">
        <v>10</v>
      </c>
      <c r="C22" t="s">
        <v>20</v>
      </c>
      <c r="D22" t="s">
        <v>170</v>
      </c>
      <c r="E22" t="s">
        <v>252</v>
      </c>
      <c r="F22">
        <v>1208</v>
      </c>
      <c r="G22" t="s">
        <v>246</v>
      </c>
      <c r="H22" t="s">
        <v>105</v>
      </c>
      <c r="I22" t="s">
        <v>69</v>
      </c>
      <c r="J22">
        <v>140</v>
      </c>
      <c r="K22">
        <v>0.6</v>
      </c>
      <c r="L22">
        <v>11.8</v>
      </c>
      <c r="M22">
        <v>9.6</v>
      </c>
      <c r="N22">
        <v>0</v>
      </c>
      <c r="O22">
        <v>1</v>
      </c>
      <c r="P22">
        <v>45</v>
      </c>
      <c r="Q22">
        <v>2.6</v>
      </c>
    </row>
    <row r="23" spans="1:29" x14ac:dyDescent="0.25">
      <c r="A23" t="s">
        <v>257</v>
      </c>
      <c r="B23" t="s">
        <v>7</v>
      </c>
      <c r="C23" t="s">
        <v>21</v>
      </c>
      <c r="D23" t="s">
        <v>170</v>
      </c>
      <c r="E23" t="s">
        <v>254</v>
      </c>
      <c r="F23" t="s">
        <v>243</v>
      </c>
      <c r="H23" t="s">
        <v>108</v>
      </c>
      <c r="I23" t="s">
        <v>69</v>
      </c>
      <c r="J23">
        <v>63</v>
      </c>
      <c r="K23">
        <v>4.5999999999999996</v>
      </c>
      <c r="L23">
        <v>3</v>
      </c>
      <c r="M23">
        <v>5.56</v>
      </c>
      <c r="N23">
        <v>0</v>
      </c>
      <c r="O23">
        <v>0.6</v>
      </c>
      <c r="P23">
        <v>104.08</v>
      </c>
      <c r="Q23">
        <v>2.99</v>
      </c>
      <c r="R23">
        <v>0</v>
      </c>
    </row>
    <row r="24" spans="1:29" x14ac:dyDescent="0.25">
      <c r="A24" t="s">
        <v>139</v>
      </c>
      <c r="B24" t="s">
        <v>8</v>
      </c>
      <c r="C24" t="s">
        <v>21</v>
      </c>
      <c r="D24" t="s">
        <v>170</v>
      </c>
      <c r="E24" t="s">
        <v>254</v>
      </c>
      <c r="F24">
        <v>1015</v>
      </c>
      <c r="G24" t="s">
        <v>244</v>
      </c>
      <c r="H24" t="s">
        <v>70</v>
      </c>
      <c r="I24" t="s">
        <v>69</v>
      </c>
      <c r="J24">
        <v>60</v>
      </c>
      <c r="K24">
        <v>4.5199999999999996</v>
      </c>
      <c r="L24">
        <v>3.22</v>
      </c>
      <c r="M24">
        <v>3.25</v>
      </c>
      <c r="N24">
        <v>0</v>
      </c>
      <c r="O24">
        <v>0.69</v>
      </c>
      <c r="P24">
        <v>113</v>
      </c>
      <c r="Q24">
        <v>0.03</v>
      </c>
      <c r="R24">
        <v>0</v>
      </c>
      <c r="AA24">
        <f t="shared" ref="AA24:AC25" si="6">V24/1000</f>
        <v>0</v>
      </c>
      <c r="AB24">
        <f t="shared" si="6"/>
        <v>0</v>
      </c>
      <c r="AC24">
        <f t="shared" si="6"/>
        <v>0</v>
      </c>
    </row>
    <row r="25" spans="1:29" x14ac:dyDescent="0.25">
      <c r="A25" t="s">
        <v>142</v>
      </c>
      <c r="B25" t="s">
        <v>9</v>
      </c>
      <c r="C25" t="s">
        <v>21</v>
      </c>
      <c r="D25" t="s">
        <v>170</v>
      </c>
      <c r="E25" t="s">
        <v>254</v>
      </c>
      <c r="F25" t="s">
        <v>56</v>
      </c>
      <c r="G25" t="s">
        <v>245</v>
      </c>
      <c r="I25" t="s">
        <v>69</v>
      </c>
      <c r="J25">
        <v>68</v>
      </c>
      <c r="K25">
        <v>4.2</v>
      </c>
      <c r="L25">
        <v>3.5</v>
      </c>
      <c r="M25">
        <v>4.0999999999999996</v>
      </c>
      <c r="N25">
        <v>0</v>
      </c>
      <c r="O25">
        <v>0.8</v>
      </c>
      <c r="P25">
        <v>122</v>
      </c>
      <c r="Q25">
        <v>0.3</v>
      </c>
      <c r="R25">
        <v>1</v>
      </c>
      <c r="AA25">
        <f t="shared" si="6"/>
        <v>0</v>
      </c>
      <c r="AB25">
        <f t="shared" si="6"/>
        <v>0</v>
      </c>
      <c r="AC25">
        <f t="shared" si="6"/>
        <v>0</v>
      </c>
    </row>
    <row r="26" spans="1:29" x14ac:dyDescent="0.25">
      <c r="A26" t="s">
        <v>141</v>
      </c>
      <c r="B26" t="s">
        <v>10</v>
      </c>
      <c r="C26" t="s">
        <v>21</v>
      </c>
      <c r="D26" t="s">
        <v>170</v>
      </c>
      <c r="E26" t="s">
        <v>254</v>
      </c>
      <c r="F26">
        <v>1493</v>
      </c>
      <c r="G26" t="s">
        <v>246</v>
      </c>
      <c r="H26" t="s">
        <v>109</v>
      </c>
      <c r="I26" t="s">
        <v>69</v>
      </c>
      <c r="J26">
        <v>79</v>
      </c>
      <c r="K26">
        <v>5.4</v>
      </c>
      <c r="L26">
        <v>3.8</v>
      </c>
      <c r="M26">
        <v>4.8</v>
      </c>
      <c r="N26">
        <v>0</v>
      </c>
      <c r="O26">
        <v>0.8</v>
      </c>
      <c r="P26">
        <v>143</v>
      </c>
      <c r="Q26">
        <v>0</v>
      </c>
      <c r="R26">
        <v>1</v>
      </c>
    </row>
    <row r="27" spans="1:29" x14ac:dyDescent="0.25">
      <c r="A27" t="s">
        <v>257</v>
      </c>
      <c r="B27" t="s">
        <v>7</v>
      </c>
      <c r="C27" t="s">
        <v>13</v>
      </c>
      <c r="D27" t="s">
        <v>131</v>
      </c>
      <c r="E27" t="s">
        <v>248</v>
      </c>
      <c r="F27" t="s">
        <v>243</v>
      </c>
      <c r="H27" t="s">
        <v>99</v>
      </c>
      <c r="I27" t="s">
        <v>69</v>
      </c>
      <c r="J27">
        <v>343</v>
      </c>
      <c r="K27">
        <v>69.55</v>
      </c>
      <c r="L27">
        <v>8.3000000000000007</v>
      </c>
      <c r="M27">
        <v>4.08</v>
      </c>
      <c r="N27">
        <v>12.8</v>
      </c>
      <c r="O27">
        <v>1.2</v>
      </c>
      <c r="P27">
        <v>8</v>
      </c>
      <c r="Q27">
        <v>2.5499999999999998</v>
      </c>
      <c r="R27">
        <v>0</v>
      </c>
    </row>
    <row r="28" spans="1:29" x14ac:dyDescent="0.25">
      <c r="A28" t="s">
        <v>139</v>
      </c>
      <c r="B28" t="s">
        <v>8</v>
      </c>
      <c r="C28" t="s">
        <v>13</v>
      </c>
      <c r="D28" t="s">
        <v>131</v>
      </c>
      <c r="E28" t="s">
        <v>248</v>
      </c>
      <c r="F28">
        <v>13047</v>
      </c>
      <c r="G28" t="s">
        <v>244</v>
      </c>
      <c r="H28" t="s">
        <v>99</v>
      </c>
      <c r="I28" t="s">
        <v>69</v>
      </c>
      <c r="J28">
        <v>365</v>
      </c>
      <c r="K28">
        <v>74.260000000000005</v>
      </c>
      <c r="L28">
        <v>9.42</v>
      </c>
      <c r="M28">
        <v>4.74</v>
      </c>
      <c r="N28">
        <v>7.3</v>
      </c>
      <c r="O28">
        <v>1.2</v>
      </c>
      <c r="P28">
        <v>7</v>
      </c>
      <c r="Q28">
        <v>2.71</v>
      </c>
      <c r="R28">
        <v>0</v>
      </c>
      <c r="AA28">
        <f t="shared" ref="AA28:AC29" si="7">V28/1000</f>
        <v>0</v>
      </c>
      <c r="AB28">
        <f t="shared" si="7"/>
        <v>0</v>
      </c>
      <c r="AC28">
        <f t="shared" si="7"/>
        <v>0</v>
      </c>
    </row>
    <row r="29" spans="1:29" x14ac:dyDescent="0.25">
      <c r="A29" t="s">
        <v>142</v>
      </c>
      <c r="B29" t="s">
        <v>9</v>
      </c>
      <c r="C29" t="s">
        <v>13</v>
      </c>
      <c r="D29" t="s">
        <v>131</v>
      </c>
      <c r="E29" t="s">
        <v>248</v>
      </c>
      <c r="F29" t="s">
        <v>264</v>
      </c>
      <c r="G29" t="s">
        <v>245</v>
      </c>
      <c r="H29" t="s">
        <v>100</v>
      </c>
      <c r="I29" t="s">
        <v>69</v>
      </c>
      <c r="J29">
        <v>111</v>
      </c>
      <c r="K29">
        <v>21.1</v>
      </c>
      <c r="L29">
        <v>3.4</v>
      </c>
      <c r="M29">
        <v>1.4</v>
      </c>
      <c r="O29">
        <v>0.7</v>
      </c>
      <c r="P29">
        <v>10</v>
      </c>
      <c r="Q29">
        <v>1.7</v>
      </c>
      <c r="R29">
        <v>13</v>
      </c>
      <c r="AA29">
        <f t="shared" si="7"/>
        <v>0</v>
      </c>
      <c r="AB29">
        <f t="shared" si="7"/>
        <v>0</v>
      </c>
      <c r="AC29">
        <f t="shared" si="7"/>
        <v>0</v>
      </c>
    </row>
    <row r="30" spans="1:29" x14ac:dyDescent="0.25">
      <c r="A30" t="s">
        <v>141</v>
      </c>
      <c r="B30" t="s">
        <v>10</v>
      </c>
      <c r="C30" t="s">
        <v>13</v>
      </c>
      <c r="D30" t="s">
        <v>131</v>
      </c>
      <c r="E30" t="s">
        <v>248</v>
      </c>
      <c r="F30">
        <v>44</v>
      </c>
      <c r="G30" t="s">
        <v>246</v>
      </c>
      <c r="H30" t="s">
        <v>101</v>
      </c>
      <c r="I30" t="s">
        <v>69</v>
      </c>
      <c r="J30" s="3">
        <v>364</v>
      </c>
      <c r="K30">
        <v>73.599999999999994</v>
      </c>
      <c r="L30">
        <v>10</v>
      </c>
      <c r="M30">
        <v>4.8</v>
      </c>
      <c r="N30">
        <v>2</v>
      </c>
      <c r="O30">
        <v>1.2</v>
      </c>
      <c r="P30">
        <v>13</v>
      </c>
      <c r="Q30">
        <v>4.9000000000000004</v>
      </c>
      <c r="R30">
        <v>4</v>
      </c>
    </row>
    <row r="31" spans="1:29" x14ac:dyDescent="0.25">
      <c r="A31" t="s">
        <v>257</v>
      </c>
      <c r="B31" t="s">
        <v>7</v>
      </c>
      <c r="C31" t="s">
        <v>14</v>
      </c>
      <c r="D31" t="s">
        <v>131</v>
      </c>
      <c r="E31" t="s">
        <v>248</v>
      </c>
      <c r="F31" t="s">
        <v>243</v>
      </c>
      <c r="H31" t="s">
        <v>88</v>
      </c>
      <c r="I31" t="s">
        <v>69</v>
      </c>
      <c r="J31">
        <v>307</v>
      </c>
      <c r="K31">
        <v>58.37</v>
      </c>
      <c r="L31">
        <v>9.3800000000000008</v>
      </c>
      <c r="O31">
        <v>1.83</v>
      </c>
      <c r="P31">
        <v>108</v>
      </c>
      <c r="Q31">
        <v>33.9</v>
      </c>
      <c r="R31">
        <v>0</v>
      </c>
    </row>
    <row r="32" spans="1:29" x14ac:dyDescent="0.25">
      <c r="A32" t="s">
        <v>139</v>
      </c>
      <c r="B32" t="s">
        <v>8</v>
      </c>
      <c r="C32" t="s">
        <v>14</v>
      </c>
      <c r="D32" t="s">
        <v>131</v>
      </c>
      <c r="E32" t="s">
        <v>248</v>
      </c>
      <c r="F32">
        <v>14021</v>
      </c>
      <c r="G32" t="s">
        <v>244</v>
      </c>
      <c r="I32" t="s">
        <v>69</v>
      </c>
      <c r="J32">
        <v>266</v>
      </c>
      <c r="K32">
        <v>50.61</v>
      </c>
      <c r="L32">
        <v>7.64</v>
      </c>
      <c r="M32">
        <v>3.29</v>
      </c>
      <c r="N32">
        <v>2.4</v>
      </c>
      <c r="O32">
        <v>2.0299999999999998</v>
      </c>
      <c r="P32">
        <v>151</v>
      </c>
      <c r="Q32">
        <v>3.74</v>
      </c>
      <c r="R32">
        <v>0</v>
      </c>
      <c r="AA32">
        <f t="shared" ref="AA32:AC33" si="8">V32/1000</f>
        <v>0</v>
      </c>
      <c r="AB32">
        <f t="shared" si="8"/>
        <v>0</v>
      </c>
      <c r="AC32">
        <f t="shared" si="8"/>
        <v>0</v>
      </c>
    </row>
    <row r="33" spans="1:29" x14ac:dyDescent="0.25">
      <c r="A33" t="s">
        <v>142</v>
      </c>
      <c r="B33" t="s">
        <v>9</v>
      </c>
      <c r="C33" t="s">
        <v>14</v>
      </c>
      <c r="D33" t="s">
        <v>131</v>
      </c>
      <c r="E33" t="s">
        <v>248</v>
      </c>
      <c r="F33" t="s">
        <v>49</v>
      </c>
      <c r="G33" t="s">
        <v>245</v>
      </c>
      <c r="I33" t="s">
        <v>69</v>
      </c>
      <c r="J33">
        <v>273</v>
      </c>
      <c r="K33">
        <v>41.3</v>
      </c>
      <c r="L33">
        <v>11.9</v>
      </c>
      <c r="M33">
        <v>5.4</v>
      </c>
      <c r="N33">
        <v>5.9</v>
      </c>
      <c r="O33">
        <v>2</v>
      </c>
      <c r="P33">
        <v>83</v>
      </c>
      <c r="Q33">
        <v>1.9</v>
      </c>
      <c r="AA33">
        <f t="shared" si="8"/>
        <v>0</v>
      </c>
      <c r="AB33">
        <f t="shared" si="8"/>
        <v>0</v>
      </c>
      <c r="AC33">
        <f t="shared" si="8"/>
        <v>0</v>
      </c>
    </row>
    <row r="34" spans="1:29" x14ac:dyDescent="0.25">
      <c r="A34" t="s">
        <v>141</v>
      </c>
      <c r="B34" t="s">
        <v>10</v>
      </c>
      <c r="C34" t="s">
        <v>14</v>
      </c>
      <c r="D34" t="s">
        <v>131</v>
      </c>
      <c r="E34" t="s">
        <v>248</v>
      </c>
      <c r="F34">
        <v>26</v>
      </c>
      <c r="G34" t="s">
        <v>246</v>
      </c>
      <c r="H34" t="s">
        <v>89</v>
      </c>
      <c r="I34" t="s">
        <v>69</v>
      </c>
      <c r="J34">
        <v>261</v>
      </c>
      <c r="K34">
        <v>51.7</v>
      </c>
      <c r="L34">
        <v>7.7</v>
      </c>
      <c r="M34">
        <v>2</v>
      </c>
      <c r="N34">
        <v>0.3</v>
      </c>
      <c r="O34">
        <v>1.7</v>
      </c>
      <c r="P34">
        <v>37</v>
      </c>
      <c r="Q34">
        <v>1.7</v>
      </c>
      <c r="R34">
        <v>0</v>
      </c>
    </row>
    <row r="35" spans="1:29" x14ac:dyDescent="0.25">
      <c r="A35" t="s">
        <v>257</v>
      </c>
      <c r="B35" t="s">
        <v>7</v>
      </c>
      <c r="C35" t="s">
        <v>23</v>
      </c>
      <c r="D35" t="s">
        <v>131</v>
      </c>
      <c r="E35" t="s">
        <v>248</v>
      </c>
      <c r="F35" t="s">
        <v>243</v>
      </c>
      <c r="H35" t="s">
        <v>74</v>
      </c>
      <c r="I35" t="s">
        <v>69</v>
      </c>
      <c r="J35">
        <v>360</v>
      </c>
      <c r="K35">
        <v>78.099999999999994</v>
      </c>
      <c r="L35">
        <v>7.86</v>
      </c>
      <c r="M35">
        <v>0.56999999999999995</v>
      </c>
      <c r="N35">
        <v>1.3</v>
      </c>
      <c r="O35">
        <v>0.75</v>
      </c>
      <c r="P35">
        <v>10.5</v>
      </c>
      <c r="Q35">
        <v>0.93</v>
      </c>
      <c r="R35">
        <v>0</v>
      </c>
    </row>
    <row r="36" spans="1:29" ht="15" customHeight="1" x14ac:dyDescent="0.25">
      <c r="A36" t="s">
        <v>139</v>
      </c>
      <c r="B36" t="s">
        <v>8</v>
      </c>
      <c r="C36" t="s">
        <v>23</v>
      </c>
      <c r="D36" t="s">
        <v>131</v>
      </c>
      <c r="E36" t="s">
        <v>248</v>
      </c>
      <c r="F36">
        <v>13004</v>
      </c>
      <c r="G36" t="s">
        <v>244</v>
      </c>
      <c r="H36" t="s">
        <v>121</v>
      </c>
      <c r="I36" t="s">
        <v>69</v>
      </c>
      <c r="J36">
        <v>360</v>
      </c>
      <c r="K36">
        <v>79.34</v>
      </c>
      <c r="L36">
        <v>6.61</v>
      </c>
      <c r="M36">
        <v>0.57999999999999996</v>
      </c>
      <c r="O36">
        <v>0.57999999999999996</v>
      </c>
      <c r="P36">
        <v>9</v>
      </c>
      <c r="Q36">
        <v>0.8</v>
      </c>
      <c r="R36">
        <v>0</v>
      </c>
      <c r="AA36">
        <f t="shared" ref="AA36:AC37" si="9">V36/1000</f>
        <v>0</v>
      </c>
      <c r="AB36">
        <f t="shared" si="9"/>
        <v>0</v>
      </c>
      <c r="AC36">
        <f t="shared" si="9"/>
        <v>0</v>
      </c>
    </row>
    <row r="37" spans="1:29" x14ac:dyDescent="0.25">
      <c r="A37" t="s">
        <v>142</v>
      </c>
      <c r="B37" t="s">
        <v>9</v>
      </c>
      <c r="C37" t="s">
        <v>23</v>
      </c>
      <c r="D37" t="s">
        <v>131</v>
      </c>
      <c r="E37" t="s">
        <v>248</v>
      </c>
      <c r="F37" t="s">
        <v>57</v>
      </c>
      <c r="G37" t="s">
        <v>245</v>
      </c>
      <c r="H37" t="s">
        <v>58</v>
      </c>
      <c r="I37" t="s">
        <v>69</v>
      </c>
      <c r="J37">
        <v>354</v>
      </c>
      <c r="K37">
        <v>79.7</v>
      </c>
      <c r="L37">
        <v>6.8</v>
      </c>
      <c r="M37">
        <v>0.7</v>
      </c>
      <c r="N37">
        <v>0.6</v>
      </c>
      <c r="O37">
        <v>0.5</v>
      </c>
      <c r="P37">
        <v>19</v>
      </c>
      <c r="Q37">
        <v>1.2</v>
      </c>
      <c r="R37">
        <v>0</v>
      </c>
      <c r="AA37">
        <f t="shared" si="9"/>
        <v>0</v>
      </c>
      <c r="AB37">
        <f t="shared" si="9"/>
        <v>0</v>
      </c>
      <c r="AC37">
        <f t="shared" si="9"/>
        <v>0</v>
      </c>
    </row>
    <row r="38" spans="1:29" x14ac:dyDescent="0.25">
      <c r="A38" t="s">
        <v>141</v>
      </c>
      <c r="B38" t="s">
        <v>10</v>
      </c>
      <c r="C38" t="s">
        <v>23</v>
      </c>
      <c r="D38" t="s">
        <v>131</v>
      </c>
      <c r="E38" t="s">
        <v>248</v>
      </c>
      <c r="F38">
        <v>119</v>
      </c>
      <c r="G38" t="s">
        <v>246</v>
      </c>
      <c r="H38" t="s">
        <v>122</v>
      </c>
      <c r="I38" t="s">
        <v>69</v>
      </c>
      <c r="J38">
        <v>366</v>
      </c>
      <c r="K38">
        <v>81.599999999999994</v>
      </c>
      <c r="L38">
        <v>6.3</v>
      </c>
      <c r="M38">
        <v>0.3</v>
      </c>
      <c r="N38">
        <v>0.2</v>
      </c>
      <c r="O38">
        <v>0.4</v>
      </c>
      <c r="P38">
        <v>22</v>
      </c>
      <c r="Q38">
        <v>1.7</v>
      </c>
    </row>
    <row r="39" spans="1:29" x14ac:dyDescent="0.25">
      <c r="A39" t="s">
        <v>257</v>
      </c>
      <c r="B39" t="s">
        <v>7</v>
      </c>
      <c r="C39" t="s">
        <v>44</v>
      </c>
      <c r="D39" t="s">
        <v>157</v>
      </c>
      <c r="E39" t="s">
        <v>250</v>
      </c>
      <c r="F39" t="s">
        <v>243</v>
      </c>
      <c r="H39" t="s">
        <v>44</v>
      </c>
      <c r="I39" t="s">
        <v>69</v>
      </c>
      <c r="J39">
        <v>70</v>
      </c>
      <c r="K39">
        <v>17.48</v>
      </c>
      <c r="L39">
        <v>1.89</v>
      </c>
      <c r="M39">
        <v>7.0000000000000007E-2</v>
      </c>
      <c r="N39">
        <v>2.2000000000000002</v>
      </c>
      <c r="O39">
        <v>1.04</v>
      </c>
      <c r="P39">
        <v>13.8</v>
      </c>
      <c r="Q39">
        <v>2.2000000000000002</v>
      </c>
      <c r="R39">
        <v>12.79</v>
      </c>
    </row>
    <row r="40" spans="1:29" x14ac:dyDescent="0.25">
      <c r="A40" t="s">
        <v>139</v>
      </c>
      <c r="B40" t="s">
        <v>8</v>
      </c>
      <c r="C40" t="s">
        <v>44</v>
      </c>
      <c r="D40" t="s">
        <v>157</v>
      </c>
      <c r="E40" t="s">
        <v>250</v>
      </c>
      <c r="F40">
        <v>11127</v>
      </c>
      <c r="G40" t="s">
        <v>244</v>
      </c>
      <c r="H40" t="s">
        <v>119</v>
      </c>
      <c r="I40" t="s">
        <v>69</v>
      </c>
      <c r="J40">
        <v>77</v>
      </c>
      <c r="K40">
        <v>17.47</v>
      </c>
      <c r="L40">
        <v>2.02</v>
      </c>
      <c r="M40">
        <v>0.9</v>
      </c>
      <c r="N40">
        <v>2.2000000000000002</v>
      </c>
      <c r="O40">
        <v>1.08</v>
      </c>
      <c r="P40">
        <v>12</v>
      </c>
      <c r="Q40">
        <v>0.78</v>
      </c>
      <c r="R40">
        <v>20</v>
      </c>
      <c r="AA40">
        <f t="shared" ref="AA40:AC41" si="10">V40/1000</f>
        <v>0</v>
      </c>
      <c r="AB40">
        <f t="shared" si="10"/>
        <v>0</v>
      </c>
      <c r="AC40">
        <f t="shared" si="10"/>
        <v>0</v>
      </c>
    </row>
    <row r="41" spans="1:29" x14ac:dyDescent="0.25">
      <c r="A41" t="s">
        <v>142</v>
      </c>
      <c r="B41" t="s">
        <v>9</v>
      </c>
      <c r="C41" t="s">
        <v>44</v>
      </c>
      <c r="D41" t="s">
        <v>157</v>
      </c>
      <c r="E41" t="s">
        <v>250</v>
      </c>
      <c r="F41" t="s">
        <v>40</v>
      </c>
      <c r="G41" t="s">
        <v>245</v>
      </c>
      <c r="H41" t="s">
        <v>118</v>
      </c>
      <c r="I41" t="s">
        <v>69</v>
      </c>
      <c r="J41">
        <v>76</v>
      </c>
      <c r="K41">
        <v>15.7</v>
      </c>
      <c r="L41">
        <v>2.2000000000000002</v>
      </c>
      <c r="M41">
        <v>0.1</v>
      </c>
      <c r="N41">
        <v>1.6</v>
      </c>
      <c r="O41">
        <v>1</v>
      </c>
      <c r="P41">
        <v>24</v>
      </c>
      <c r="Q41">
        <v>1.4</v>
      </c>
      <c r="R41">
        <v>30</v>
      </c>
      <c r="AA41">
        <f t="shared" si="10"/>
        <v>0</v>
      </c>
      <c r="AB41">
        <f t="shared" si="10"/>
        <v>0</v>
      </c>
      <c r="AC41">
        <f t="shared" si="10"/>
        <v>0</v>
      </c>
    </row>
    <row r="42" spans="1:29" x14ac:dyDescent="0.25">
      <c r="A42" t="s">
        <v>141</v>
      </c>
      <c r="B42" t="s">
        <v>10</v>
      </c>
      <c r="C42" t="s">
        <v>44</v>
      </c>
      <c r="D42" t="s">
        <v>157</v>
      </c>
      <c r="E42" t="s">
        <v>250</v>
      </c>
      <c r="F42">
        <v>240</v>
      </c>
      <c r="G42" t="s">
        <v>246</v>
      </c>
      <c r="H42" t="s">
        <v>120</v>
      </c>
      <c r="I42" t="s">
        <v>69</v>
      </c>
      <c r="J42">
        <v>82</v>
      </c>
      <c r="K42">
        <v>18.899999999999999</v>
      </c>
      <c r="L42">
        <v>1.7</v>
      </c>
      <c r="M42">
        <v>0.1</v>
      </c>
      <c r="N42">
        <v>0.6</v>
      </c>
      <c r="O42">
        <v>1.6</v>
      </c>
      <c r="P42">
        <v>0.13</v>
      </c>
      <c r="Q42">
        <v>1.1000000000000001</v>
      </c>
      <c r="R42">
        <v>21</v>
      </c>
    </row>
    <row r="43" spans="1:29" x14ac:dyDescent="0.25">
      <c r="A43" t="s">
        <v>257</v>
      </c>
      <c r="B43" t="s">
        <v>7</v>
      </c>
      <c r="C43" t="s">
        <v>43</v>
      </c>
      <c r="D43" t="s">
        <v>199</v>
      </c>
      <c r="E43" t="s">
        <v>255</v>
      </c>
      <c r="F43" t="s">
        <v>243</v>
      </c>
      <c r="H43" t="s">
        <v>126</v>
      </c>
      <c r="I43" t="s">
        <v>69</v>
      </c>
      <c r="J43">
        <v>13</v>
      </c>
      <c r="K43">
        <v>1.3</v>
      </c>
      <c r="L43">
        <v>0.69</v>
      </c>
      <c r="M43">
        <v>0.14000000000000001</v>
      </c>
      <c r="N43">
        <v>1.1000000000000001</v>
      </c>
      <c r="O43">
        <v>0.63</v>
      </c>
      <c r="P43">
        <v>10.5</v>
      </c>
      <c r="Q43">
        <v>0.39</v>
      </c>
      <c r="R43">
        <v>17.53</v>
      </c>
    </row>
    <row r="44" spans="1:29" x14ac:dyDescent="0.25">
      <c r="A44" t="s">
        <v>139</v>
      </c>
      <c r="B44" t="s">
        <v>8</v>
      </c>
      <c r="C44" t="s">
        <v>43</v>
      </c>
      <c r="D44" t="s">
        <v>199</v>
      </c>
      <c r="E44" t="s">
        <v>255</v>
      </c>
      <c r="F44">
        <v>11157</v>
      </c>
      <c r="G44" t="s">
        <v>244</v>
      </c>
      <c r="H44" t="s">
        <v>127</v>
      </c>
      <c r="I44" t="s">
        <v>69</v>
      </c>
      <c r="J44">
        <v>21</v>
      </c>
      <c r="K44">
        <v>4.5999999999999996</v>
      </c>
      <c r="L44">
        <v>0.8</v>
      </c>
      <c r="M44">
        <v>0.3</v>
      </c>
      <c r="N44">
        <v>1.2</v>
      </c>
      <c r="O44">
        <v>0.5</v>
      </c>
      <c r="P44">
        <v>7</v>
      </c>
      <c r="Q44">
        <v>0.6</v>
      </c>
      <c r="R44">
        <v>23</v>
      </c>
      <c r="AA44">
        <f t="shared" ref="AA44:AC45" si="11">V44/1000</f>
        <v>0</v>
      </c>
      <c r="AB44">
        <f t="shared" si="11"/>
        <v>0</v>
      </c>
      <c r="AC44">
        <f t="shared" si="11"/>
        <v>0</v>
      </c>
    </row>
    <row r="45" spans="1:29" x14ac:dyDescent="0.25">
      <c r="A45" t="s">
        <v>142</v>
      </c>
      <c r="B45" t="s">
        <v>9</v>
      </c>
      <c r="C45" t="s">
        <v>43</v>
      </c>
      <c r="D45" t="s">
        <v>199</v>
      </c>
      <c r="E45" t="s">
        <v>255</v>
      </c>
      <c r="F45" t="s">
        <v>39</v>
      </c>
      <c r="G45" t="s">
        <v>245</v>
      </c>
      <c r="H45" t="s">
        <v>125</v>
      </c>
      <c r="I45" t="s">
        <v>69</v>
      </c>
      <c r="J45">
        <v>23</v>
      </c>
      <c r="K45">
        <v>3.4</v>
      </c>
      <c r="L45">
        <v>1</v>
      </c>
      <c r="M45">
        <v>0.3</v>
      </c>
      <c r="N45">
        <v>1.2</v>
      </c>
      <c r="O45">
        <v>0.6</v>
      </c>
      <c r="P45">
        <v>17</v>
      </c>
      <c r="Q45">
        <v>0.9</v>
      </c>
      <c r="R45">
        <v>29</v>
      </c>
      <c r="AA45">
        <f t="shared" si="11"/>
        <v>0</v>
      </c>
      <c r="AB45">
        <f t="shared" si="11"/>
        <v>0</v>
      </c>
      <c r="AC45">
        <f t="shared" si="11"/>
        <v>0</v>
      </c>
    </row>
    <row r="46" spans="1:29" x14ac:dyDescent="0.25">
      <c r="A46" t="s">
        <v>141</v>
      </c>
      <c r="B46" t="s">
        <v>10</v>
      </c>
      <c r="C46" t="s">
        <v>43</v>
      </c>
      <c r="D46" t="s">
        <v>199</v>
      </c>
      <c r="E46" t="s">
        <v>255</v>
      </c>
      <c r="F46">
        <v>825</v>
      </c>
      <c r="G46" t="s">
        <v>246</v>
      </c>
      <c r="H46" t="s">
        <v>128</v>
      </c>
      <c r="I46" t="s">
        <v>69</v>
      </c>
      <c r="J46">
        <v>21</v>
      </c>
      <c r="K46">
        <v>4.8</v>
      </c>
      <c r="L46">
        <v>1</v>
      </c>
      <c r="M46">
        <v>0.2</v>
      </c>
      <c r="N46">
        <v>0.6</v>
      </c>
      <c r="O46">
        <v>0.5</v>
      </c>
      <c r="P46">
        <v>10</v>
      </c>
      <c r="Q46">
        <v>0.6</v>
      </c>
      <c r="R46">
        <v>26</v>
      </c>
    </row>
    <row r="47" spans="1:29" x14ac:dyDescent="0.25">
      <c r="A47" t="s">
        <v>257</v>
      </c>
      <c r="B47" t="s">
        <v>7</v>
      </c>
      <c r="C47" t="s">
        <v>45</v>
      </c>
      <c r="D47" t="s">
        <v>199</v>
      </c>
      <c r="E47" t="s">
        <v>35</v>
      </c>
      <c r="F47" t="s">
        <v>243</v>
      </c>
      <c r="H47" t="s">
        <v>11</v>
      </c>
      <c r="I47" t="s">
        <v>69</v>
      </c>
      <c r="J47">
        <v>51</v>
      </c>
      <c r="K47">
        <v>12.34</v>
      </c>
      <c r="L47">
        <v>0.44</v>
      </c>
      <c r="M47">
        <v>0.17</v>
      </c>
      <c r="N47">
        <v>2.8</v>
      </c>
      <c r="O47">
        <v>0.75</v>
      </c>
      <c r="P47">
        <v>26.5</v>
      </c>
      <c r="Q47">
        <v>1.47</v>
      </c>
      <c r="R47">
        <v>15</v>
      </c>
    </row>
    <row r="48" spans="1:29" x14ac:dyDescent="0.25">
      <c r="A48" t="s">
        <v>139</v>
      </c>
      <c r="B48" t="s">
        <v>8</v>
      </c>
      <c r="C48" t="s">
        <v>45</v>
      </c>
      <c r="D48" t="s">
        <v>199</v>
      </c>
      <c r="E48" t="s">
        <v>35</v>
      </c>
      <c r="F48">
        <v>11169</v>
      </c>
      <c r="G48" t="s">
        <v>244</v>
      </c>
      <c r="H48" t="s">
        <v>90</v>
      </c>
      <c r="I48" t="s">
        <v>69</v>
      </c>
      <c r="J48">
        <v>41</v>
      </c>
      <c r="K48">
        <v>9.58</v>
      </c>
      <c r="L48">
        <v>0.93</v>
      </c>
      <c r="M48">
        <v>0.24</v>
      </c>
      <c r="N48">
        <v>2.8</v>
      </c>
      <c r="O48">
        <v>0.97</v>
      </c>
      <c r="P48">
        <v>33</v>
      </c>
      <c r="Q48">
        <v>0.3</v>
      </c>
      <c r="R48">
        <v>6</v>
      </c>
      <c r="AA48">
        <f t="shared" ref="AA48:AC49" si="12">V48/1000</f>
        <v>0</v>
      </c>
      <c r="AB48">
        <f t="shared" si="12"/>
        <v>0</v>
      </c>
      <c r="AC48">
        <f t="shared" si="12"/>
        <v>0</v>
      </c>
    </row>
    <row r="49" spans="1:29" x14ac:dyDescent="0.25">
      <c r="A49" t="s">
        <v>142</v>
      </c>
      <c r="B49" t="s">
        <v>9</v>
      </c>
      <c r="C49" t="s">
        <v>45</v>
      </c>
      <c r="D49" t="s">
        <v>199</v>
      </c>
      <c r="E49" t="s">
        <v>35</v>
      </c>
      <c r="F49" t="s">
        <v>46</v>
      </c>
      <c r="G49" t="s">
        <v>245</v>
      </c>
      <c r="H49" t="s">
        <v>91</v>
      </c>
      <c r="I49" t="s">
        <v>69</v>
      </c>
      <c r="J49">
        <v>35</v>
      </c>
      <c r="K49">
        <v>4.9000000000000004</v>
      </c>
      <c r="L49">
        <v>1.5</v>
      </c>
      <c r="M49">
        <v>0.2</v>
      </c>
      <c r="N49">
        <v>4</v>
      </c>
      <c r="O49">
        <v>1</v>
      </c>
      <c r="P49">
        <v>80</v>
      </c>
      <c r="Q49">
        <v>0.7</v>
      </c>
      <c r="R49">
        <v>12</v>
      </c>
      <c r="AA49">
        <f t="shared" si="12"/>
        <v>0</v>
      </c>
      <c r="AB49">
        <f t="shared" si="12"/>
        <v>0</v>
      </c>
      <c r="AC49">
        <f t="shared" si="12"/>
        <v>0</v>
      </c>
    </row>
    <row r="50" spans="1:29" x14ac:dyDescent="0.25">
      <c r="A50" t="s">
        <v>141</v>
      </c>
      <c r="B50" t="s">
        <v>10</v>
      </c>
      <c r="C50" t="s">
        <v>45</v>
      </c>
      <c r="D50" t="s">
        <v>199</v>
      </c>
      <c r="E50" t="s">
        <v>35</v>
      </c>
      <c r="F50">
        <v>565</v>
      </c>
      <c r="G50" t="s">
        <v>246</v>
      </c>
      <c r="H50" t="s">
        <v>45</v>
      </c>
      <c r="I50" t="s">
        <v>69</v>
      </c>
      <c r="J50">
        <v>40</v>
      </c>
      <c r="K50">
        <v>9.6</v>
      </c>
      <c r="L50">
        <v>0.9</v>
      </c>
      <c r="M50">
        <v>0.1</v>
      </c>
      <c r="N50">
        <v>1.4</v>
      </c>
      <c r="O50">
        <v>0.8</v>
      </c>
      <c r="P50">
        <v>35</v>
      </c>
      <c r="Q50">
        <v>0.7</v>
      </c>
      <c r="R50">
        <v>8</v>
      </c>
    </row>
    <row r="51" spans="1:29" x14ac:dyDescent="0.25">
      <c r="A51" t="s">
        <v>257</v>
      </c>
      <c r="B51" t="s">
        <v>7</v>
      </c>
      <c r="C51" t="s">
        <v>12</v>
      </c>
      <c r="D51" t="s">
        <v>199</v>
      </c>
      <c r="E51" t="s">
        <v>48</v>
      </c>
      <c r="F51" t="s">
        <v>243</v>
      </c>
      <c r="H51" t="s">
        <v>12</v>
      </c>
      <c r="I51" t="s">
        <v>69</v>
      </c>
      <c r="J51">
        <v>89</v>
      </c>
      <c r="K51">
        <v>22.84</v>
      </c>
      <c r="L51">
        <v>1.0900000000000001</v>
      </c>
      <c r="M51">
        <v>0.21</v>
      </c>
      <c r="N51">
        <v>2</v>
      </c>
      <c r="O51">
        <v>0.9</v>
      </c>
      <c r="P51">
        <v>5</v>
      </c>
      <c r="Q51">
        <v>0.26</v>
      </c>
      <c r="R51">
        <v>333.7</v>
      </c>
    </row>
    <row r="52" spans="1:29" x14ac:dyDescent="0.25">
      <c r="A52" t="s">
        <v>139</v>
      </c>
      <c r="B52" t="s">
        <v>8</v>
      </c>
      <c r="C52" t="s">
        <v>12</v>
      </c>
      <c r="D52" t="s">
        <v>199</v>
      </c>
      <c r="E52" t="s">
        <v>48</v>
      </c>
      <c r="F52">
        <v>12010</v>
      </c>
      <c r="G52" t="s">
        <v>244</v>
      </c>
      <c r="H52" t="s">
        <v>79</v>
      </c>
      <c r="I52" t="s">
        <v>69</v>
      </c>
      <c r="J52">
        <v>89</v>
      </c>
      <c r="K52">
        <v>22.84</v>
      </c>
      <c r="L52">
        <v>1.0900000000000001</v>
      </c>
      <c r="M52">
        <v>0.33</v>
      </c>
      <c r="N52">
        <v>2.6</v>
      </c>
      <c r="O52">
        <v>0.82</v>
      </c>
      <c r="P52">
        <v>5</v>
      </c>
      <c r="Q52">
        <v>0.26</v>
      </c>
      <c r="R52">
        <v>9</v>
      </c>
      <c r="AA52">
        <f t="shared" ref="AA52:AC53" si="13">V52/1000</f>
        <v>0</v>
      </c>
      <c r="AB52">
        <f t="shared" si="13"/>
        <v>0</v>
      </c>
      <c r="AC52">
        <f t="shared" si="13"/>
        <v>0</v>
      </c>
    </row>
    <row r="53" spans="1:29" x14ac:dyDescent="0.25">
      <c r="A53" t="s">
        <v>142</v>
      </c>
      <c r="B53" t="s">
        <v>9</v>
      </c>
      <c r="C53" t="s">
        <v>12</v>
      </c>
      <c r="D53" t="s">
        <v>199</v>
      </c>
      <c r="E53" t="s">
        <v>48</v>
      </c>
      <c r="F53" t="s">
        <v>47</v>
      </c>
      <c r="G53" t="s">
        <v>245</v>
      </c>
      <c r="I53" t="s">
        <v>69</v>
      </c>
      <c r="J53">
        <v>94</v>
      </c>
      <c r="K53">
        <v>19.899999999999999</v>
      </c>
      <c r="L53">
        <v>1.3</v>
      </c>
      <c r="M53">
        <v>0.6</v>
      </c>
      <c r="N53">
        <v>1.7</v>
      </c>
      <c r="O53">
        <v>0.8</v>
      </c>
      <c r="P53">
        <v>13</v>
      </c>
      <c r="Q53">
        <v>0.4</v>
      </c>
      <c r="R53">
        <v>8</v>
      </c>
      <c r="AA53">
        <f t="shared" si="13"/>
        <v>0</v>
      </c>
      <c r="AB53">
        <f t="shared" si="13"/>
        <v>0</v>
      </c>
      <c r="AC53">
        <f t="shared" si="13"/>
        <v>0</v>
      </c>
    </row>
    <row r="54" spans="1:29" x14ac:dyDescent="0.25">
      <c r="A54" t="s">
        <v>141</v>
      </c>
      <c r="B54" t="s">
        <v>10</v>
      </c>
      <c r="C54" t="s">
        <v>12</v>
      </c>
      <c r="D54" t="s">
        <v>199</v>
      </c>
      <c r="E54" t="s">
        <v>48</v>
      </c>
      <c r="F54">
        <v>199</v>
      </c>
      <c r="G54" t="s">
        <v>246</v>
      </c>
      <c r="H54" t="s">
        <v>80</v>
      </c>
      <c r="I54" t="s">
        <v>69</v>
      </c>
      <c r="J54">
        <v>88</v>
      </c>
      <c r="K54">
        <v>20.6</v>
      </c>
      <c r="L54">
        <v>1.5</v>
      </c>
      <c r="M54">
        <v>0.1</v>
      </c>
      <c r="N54">
        <v>0.9</v>
      </c>
      <c r="O54">
        <v>0.8</v>
      </c>
      <c r="P54">
        <v>9</v>
      </c>
      <c r="Q54">
        <v>1.4</v>
      </c>
      <c r="R54">
        <v>9</v>
      </c>
    </row>
    <row r="55" spans="1:29" x14ac:dyDescent="0.25">
      <c r="A55" t="s">
        <v>257</v>
      </c>
      <c r="B55" t="s">
        <v>7</v>
      </c>
      <c r="C55" t="s">
        <v>25</v>
      </c>
      <c r="D55" t="s">
        <v>199</v>
      </c>
      <c r="E55" t="s">
        <v>35</v>
      </c>
      <c r="F55" t="s">
        <v>243</v>
      </c>
      <c r="H55" t="s">
        <v>266</v>
      </c>
      <c r="I55" t="s">
        <v>69</v>
      </c>
      <c r="J55">
        <v>32</v>
      </c>
      <c r="K55">
        <v>7.34</v>
      </c>
      <c r="L55">
        <v>1.83</v>
      </c>
      <c r="M55">
        <v>0.13</v>
      </c>
      <c r="N55">
        <v>2.6</v>
      </c>
      <c r="O55">
        <v>0.81</v>
      </c>
      <c r="P55">
        <v>72</v>
      </c>
      <c r="Q55">
        <v>1.48</v>
      </c>
      <c r="R55">
        <v>17</v>
      </c>
    </row>
    <row r="56" spans="1:29" x14ac:dyDescent="0.25">
      <c r="A56" t="s">
        <v>139</v>
      </c>
      <c r="B56" t="s">
        <v>8</v>
      </c>
      <c r="C56" t="s">
        <v>25</v>
      </c>
      <c r="D56" t="s">
        <v>199</v>
      </c>
      <c r="E56" t="s">
        <v>35</v>
      </c>
      <c r="F56">
        <v>11038</v>
      </c>
      <c r="G56" t="s">
        <v>244</v>
      </c>
      <c r="H56" t="s">
        <v>111</v>
      </c>
      <c r="I56" t="s">
        <v>69</v>
      </c>
      <c r="J56">
        <v>32</v>
      </c>
      <c r="K56">
        <v>7.34</v>
      </c>
      <c r="L56">
        <v>1.83</v>
      </c>
      <c r="M56">
        <v>0.19</v>
      </c>
      <c r="N56">
        <v>2.6</v>
      </c>
      <c r="O56">
        <v>0.81</v>
      </c>
      <c r="P56">
        <v>72</v>
      </c>
      <c r="Q56">
        <v>1.48</v>
      </c>
      <c r="R56">
        <v>19</v>
      </c>
      <c r="AA56">
        <f t="shared" ref="AA56:AC57" si="14">V56/1000</f>
        <v>0</v>
      </c>
      <c r="AB56">
        <f t="shared" si="14"/>
        <v>0</v>
      </c>
      <c r="AC56">
        <f t="shared" si="14"/>
        <v>0</v>
      </c>
    </row>
    <row r="57" spans="1:29" x14ac:dyDescent="0.25">
      <c r="A57" t="s">
        <v>142</v>
      </c>
      <c r="B57" t="s">
        <v>9</v>
      </c>
      <c r="C57" t="s">
        <v>25</v>
      </c>
      <c r="D57" t="s">
        <v>199</v>
      </c>
      <c r="E57" t="s">
        <v>35</v>
      </c>
      <c r="F57" t="s">
        <v>60</v>
      </c>
      <c r="G57" t="s">
        <v>245</v>
      </c>
      <c r="H57" t="s">
        <v>59</v>
      </c>
      <c r="I57" t="s">
        <v>69</v>
      </c>
      <c r="J57">
        <v>39</v>
      </c>
      <c r="K57">
        <v>4.5999999999999996</v>
      </c>
      <c r="L57">
        <v>2.2000000000000002</v>
      </c>
      <c r="M57">
        <v>0.7</v>
      </c>
      <c r="N57">
        <v>2.6</v>
      </c>
      <c r="O57">
        <v>0.7</v>
      </c>
      <c r="P57">
        <v>55</v>
      </c>
      <c r="Q57">
        <v>2.2999999999999998</v>
      </c>
      <c r="R57">
        <v>42</v>
      </c>
      <c r="AA57">
        <f t="shared" si="14"/>
        <v>0</v>
      </c>
      <c r="AB57">
        <f t="shared" si="14"/>
        <v>0</v>
      </c>
      <c r="AC57">
        <f t="shared" si="14"/>
        <v>0</v>
      </c>
    </row>
    <row r="58" spans="1:29" x14ac:dyDescent="0.25">
      <c r="A58" t="s">
        <v>141</v>
      </c>
      <c r="B58" t="s">
        <v>10</v>
      </c>
      <c r="C58" t="s">
        <v>25</v>
      </c>
      <c r="D58" t="s">
        <v>199</v>
      </c>
      <c r="E58" t="s">
        <v>35</v>
      </c>
      <c r="F58">
        <v>727</v>
      </c>
      <c r="G58" t="s">
        <v>246</v>
      </c>
      <c r="H58" t="s">
        <v>112</v>
      </c>
      <c r="I58" t="s">
        <v>69</v>
      </c>
      <c r="J58">
        <v>41</v>
      </c>
      <c r="K58">
        <v>9.6</v>
      </c>
      <c r="L58">
        <v>1.2</v>
      </c>
      <c r="M58">
        <v>0.1</v>
      </c>
      <c r="N58">
        <v>1</v>
      </c>
      <c r="O58">
        <v>0.6</v>
      </c>
      <c r="P58">
        <v>27</v>
      </c>
      <c r="Q58">
        <v>0.8</v>
      </c>
      <c r="R58">
        <v>11</v>
      </c>
    </row>
    <row r="59" spans="1:29" x14ac:dyDescent="0.25">
      <c r="A59" t="s">
        <v>257</v>
      </c>
      <c r="B59" t="s">
        <v>7</v>
      </c>
      <c r="C59" t="s">
        <v>17</v>
      </c>
      <c r="F59" t="s">
        <v>243</v>
      </c>
      <c r="H59" t="s">
        <v>86</v>
      </c>
      <c r="I59" t="s">
        <v>69</v>
      </c>
      <c r="J59">
        <v>155</v>
      </c>
      <c r="K59">
        <v>0</v>
      </c>
      <c r="L59">
        <v>21.25</v>
      </c>
      <c r="M59">
        <v>6.28</v>
      </c>
      <c r="N59">
        <v>0</v>
      </c>
      <c r="O59">
        <v>1.6</v>
      </c>
      <c r="P59">
        <v>5</v>
      </c>
      <c r="Q59">
        <v>1.92</v>
      </c>
      <c r="R59">
        <v>0</v>
      </c>
    </row>
    <row r="60" spans="1:29" x14ac:dyDescent="0.25">
      <c r="A60" t="s">
        <v>139</v>
      </c>
      <c r="B60" t="s">
        <v>8</v>
      </c>
      <c r="C60" t="s">
        <v>17</v>
      </c>
      <c r="F60">
        <v>5022</v>
      </c>
      <c r="G60" t="s">
        <v>244</v>
      </c>
      <c r="H60" s="2" t="s">
        <v>85</v>
      </c>
      <c r="I60" t="s">
        <v>69</v>
      </c>
      <c r="J60">
        <v>234</v>
      </c>
      <c r="K60">
        <v>0</v>
      </c>
      <c r="L60">
        <v>18.68</v>
      </c>
      <c r="M60">
        <v>17.149999999999999</v>
      </c>
      <c r="N60">
        <v>0</v>
      </c>
      <c r="O60">
        <v>0.91</v>
      </c>
      <c r="P60">
        <v>7</v>
      </c>
      <c r="Q60">
        <v>1.91</v>
      </c>
      <c r="R60">
        <v>0</v>
      </c>
      <c r="AA60">
        <f t="shared" ref="AA60:AC61" si="15">V60/1000</f>
        <v>0</v>
      </c>
      <c r="AB60">
        <f t="shared" si="15"/>
        <v>0</v>
      </c>
      <c r="AC60">
        <f t="shared" si="15"/>
        <v>0</v>
      </c>
    </row>
    <row r="61" spans="1:29" x14ac:dyDescent="0.25">
      <c r="A61" t="s">
        <v>142</v>
      </c>
      <c r="B61" t="s">
        <v>9</v>
      </c>
      <c r="C61" t="s">
        <v>17</v>
      </c>
      <c r="E61" t="s">
        <v>51</v>
      </c>
      <c r="F61" t="s">
        <v>53</v>
      </c>
      <c r="G61" t="s">
        <v>245</v>
      </c>
      <c r="H61" t="s">
        <v>54</v>
      </c>
      <c r="I61" t="s">
        <v>69</v>
      </c>
      <c r="J61">
        <v>84</v>
      </c>
      <c r="K61">
        <v>2.9</v>
      </c>
      <c r="L61">
        <v>16.5</v>
      </c>
      <c r="M61">
        <v>0.7</v>
      </c>
      <c r="N61">
        <v>0</v>
      </c>
      <c r="O61">
        <v>2.4</v>
      </c>
      <c r="P61">
        <v>21</v>
      </c>
      <c r="Q61">
        <v>5</v>
      </c>
      <c r="AA61">
        <f t="shared" si="15"/>
        <v>0</v>
      </c>
      <c r="AB61">
        <f t="shared" si="15"/>
        <v>0</v>
      </c>
      <c r="AC61">
        <f t="shared" si="15"/>
        <v>0</v>
      </c>
    </row>
    <row r="62" spans="1:29" x14ac:dyDescent="0.25">
      <c r="A62" t="s">
        <v>141</v>
      </c>
      <c r="B62" t="s">
        <v>10</v>
      </c>
      <c r="C62" t="s">
        <v>17</v>
      </c>
      <c r="F62">
        <v>1080</v>
      </c>
      <c r="G62" t="s">
        <v>246</v>
      </c>
      <c r="H62" t="s">
        <v>87</v>
      </c>
      <c r="I62" t="s">
        <v>69</v>
      </c>
      <c r="J62">
        <v>237</v>
      </c>
      <c r="K62">
        <v>0</v>
      </c>
      <c r="L62">
        <v>18.2</v>
      </c>
      <c r="M62">
        <v>17.7</v>
      </c>
      <c r="N62">
        <v>0</v>
      </c>
      <c r="O62">
        <v>1</v>
      </c>
      <c r="P62">
        <v>11</v>
      </c>
      <c r="Q62">
        <v>3.6</v>
      </c>
    </row>
    <row r="63" spans="1:29" x14ac:dyDescent="0.25">
      <c r="A63" t="s">
        <v>257</v>
      </c>
      <c r="B63" t="s">
        <v>7</v>
      </c>
      <c r="C63" t="s">
        <v>22</v>
      </c>
      <c r="E63" t="s">
        <v>260</v>
      </c>
      <c r="F63" t="s">
        <v>243</v>
      </c>
      <c r="H63" t="s">
        <v>98</v>
      </c>
      <c r="I63" t="s">
        <v>69</v>
      </c>
      <c r="J63">
        <v>454</v>
      </c>
      <c r="K63">
        <v>62.89</v>
      </c>
      <c r="L63">
        <v>10.01</v>
      </c>
      <c r="M63">
        <v>15.41</v>
      </c>
      <c r="N63">
        <v>1.5</v>
      </c>
      <c r="O63">
        <v>1.55</v>
      </c>
      <c r="P63">
        <v>235</v>
      </c>
      <c r="Q63">
        <v>2.9</v>
      </c>
      <c r="R63">
        <v>0.2</v>
      </c>
    </row>
    <row r="64" spans="1:29" x14ac:dyDescent="0.25">
      <c r="A64" t="s">
        <v>139</v>
      </c>
      <c r="B64" t="s">
        <v>8</v>
      </c>
      <c r="C64" t="s">
        <v>22</v>
      </c>
      <c r="E64" t="s">
        <v>260</v>
      </c>
      <c r="F64">
        <v>14006</v>
      </c>
      <c r="G64" t="s">
        <v>244</v>
      </c>
      <c r="H64" t="s">
        <v>71</v>
      </c>
      <c r="I64" t="s">
        <v>69</v>
      </c>
      <c r="J64">
        <v>441</v>
      </c>
      <c r="K64">
        <v>73.599999999999994</v>
      </c>
      <c r="L64">
        <v>5</v>
      </c>
      <c r="M64">
        <v>15.2</v>
      </c>
      <c r="N64">
        <v>1.9</v>
      </c>
      <c r="O64">
        <v>1.1000000000000001</v>
      </c>
      <c r="P64">
        <v>48</v>
      </c>
      <c r="Q64">
        <v>2.38</v>
      </c>
      <c r="R64">
        <v>0</v>
      </c>
      <c r="AA64">
        <f t="shared" ref="AA64:AC65" si="16">V64/1000</f>
        <v>0</v>
      </c>
      <c r="AB64">
        <f t="shared" si="16"/>
        <v>0</v>
      </c>
      <c r="AC64">
        <f t="shared" si="16"/>
        <v>0</v>
      </c>
    </row>
    <row r="65" spans="1:29" x14ac:dyDescent="0.25">
      <c r="A65" t="s">
        <v>142</v>
      </c>
      <c r="B65" t="s">
        <v>9</v>
      </c>
      <c r="C65" t="s">
        <v>22</v>
      </c>
      <c r="E65" t="s">
        <v>260</v>
      </c>
      <c r="G65" t="s">
        <v>245</v>
      </c>
      <c r="I65" t="s">
        <v>69</v>
      </c>
      <c r="AA65">
        <f t="shared" si="16"/>
        <v>0</v>
      </c>
      <c r="AB65">
        <f t="shared" si="16"/>
        <v>0</v>
      </c>
      <c r="AC65">
        <f t="shared" si="16"/>
        <v>0</v>
      </c>
    </row>
    <row r="66" spans="1:29" x14ac:dyDescent="0.25">
      <c r="A66" t="s">
        <v>141</v>
      </c>
      <c r="B66" t="s">
        <v>10</v>
      </c>
      <c r="C66" t="s">
        <v>22</v>
      </c>
      <c r="E66" t="s">
        <v>260</v>
      </c>
      <c r="F66">
        <v>13</v>
      </c>
      <c r="G66" t="s">
        <v>246</v>
      </c>
      <c r="H66" t="s">
        <v>97</v>
      </c>
      <c r="I66" t="s">
        <v>69</v>
      </c>
      <c r="J66">
        <v>371</v>
      </c>
      <c r="K66">
        <v>77</v>
      </c>
      <c r="L66">
        <v>12.5</v>
      </c>
      <c r="M66">
        <v>0.7</v>
      </c>
      <c r="O66">
        <v>2.1</v>
      </c>
    </row>
    <row r="67" spans="1:29" x14ac:dyDescent="0.25">
      <c r="A67" t="s">
        <v>257</v>
      </c>
      <c r="B67" t="s">
        <v>7</v>
      </c>
      <c r="C67" t="s">
        <v>24</v>
      </c>
      <c r="E67" t="s">
        <v>258</v>
      </c>
      <c r="F67" t="s">
        <v>243</v>
      </c>
      <c r="H67" t="s">
        <v>265</v>
      </c>
      <c r="I67" t="s">
        <v>69</v>
      </c>
      <c r="J67">
        <v>379</v>
      </c>
      <c r="K67">
        <v>23.67</v>
      </c>
      <c r="L67">
        <v>41.57</v>
      </c>
      <c r="M67">
        <v>18.54</v>
      </c>
      <c r="N67">
        <v>9.3000000000000007</v>
      </c>
      <c r="O67">
        <v>4.67</v>
      </c>
      <c r="P67">
        <v>259</v>
      </c>
      <c r="Q67">
        <v>13.65</v>
      </c>
      <c r="R67">
        <v>6</v>
      </c>
    </row>
    <row r="68" spans="1:29" x14ac:dyDescent="0.25">
      <c r="A68" t="s">
        <v>139</v>
      </c>
      <c r="B68" t="s">
        <v>8</v>
      </c>
      <c r="C68" t="s">
        <v>24</v>
      </c>
      <c r="E68" t="s">
        <v>258</v>
      </c>
      <c r="F68">
        <v>9013</v>
      </c>
      <c r="G68" t="s">
        <v>244</v>
      </c>
      <c r="H68" t="s">
        <v>81</v>
      </c>
      <c r="I68" t="s">
        <v>69</v>
      </c>
      <c r="J68">
        <v>416</v>
      </c>
      <c r="K68">
        <v>30.16</v>
      </c>
      <c r="L68">
        <v>36.49</v>
      </c>
      <c r="M68">
        <v>19.940000000000001</v>
      </c>
      <c r="N68">
        <v>9.3000000000000007</v>
      </c>
      <c r="O68">
        <v>4.87</v>
      </c>
      <c r="P68">
        <v>277</v>
      </c>
      <c r="Q68">
        <v>15.7</v>
      </c>
      <c r="R68">
        <v>6</v>
      </c>
      <c r="AA68">
        <f t="shared" ref="AA68:AC69" si="17">V68/1000</f>
        <v>0</v>
      </c>
      <c r="AB68">
        <f t="shared" si="17"/>
        <v>0</v>
      </c>
      <c r="AC68">
        <f t="shared" si="17"/>
        <v>0</v>
      </c>
    </row>
    <row r="69" spans="1:29" x14ac:dyDescent="0.25">
      <c r="A69" t="s">
        <v>142</v>
      </c>
      <c r="B69" t="s">
        <v>9</v>
      </c>
      <c r="C69" t="s">
        <v>24</v>
      </c>
      <c r="E69" t="s">
        <v>258</v>
      </c>
      <c r="F69" t="s">
        <v>82</v>
      </c>
      <c r="G69" t="s">
        <v>245</v>
      </c>
      <c r="H69" t="s">
        <v>83</v>
      </c>
      <c r="I69" t="s">
        <v>69</v>
      </c>
      <c r="J69">
        <v>389</v>
      </c>
      <c r="K69">
        <v>11.6</v>
      </c>
      <c r="L69">
        <v>34.6</v>
      </c>
      <c r="M69">
        <v>17.8</v>
      </c>
      <c r="N69">
        <v>22</v>
      </c>
      <c r="O69">
        <v>5.3</v>
      </c>
      <c r="P69">
        <v>260</v>
      </c>
      <c r="Q69">
        <v>6.6</v>
      </c>
      <c r="R69">
        <v>5</v>
      </c>
      <c r="AA69">
        <f t="shared" si="17"/>
        <v>0</v>
      </c>
      <c r="AB69">
        <f t="shared" si="17"/>
        <v>0</v>
      </c>
      <c r="AC69">
        <f t="shared" si="17"/>
        <v>0</v>
      </c>
    </row>
    <row r="70" spans="1:29" x14ac:dyDescent="0.25">
      <c r="A70" t="s">
        <v>141</v>
      </c>
      <c r="B70" t="s">
        <v>10</v>
      </c>
      <c r="C70" t="s">
        <v>24</v>
      </c>
      <c r="E70" t="s">
        <v>258</v>
      </c>
      <c r="F70">
        <v>346</v>
      </c>
      <c r="G70" t="s">
        <v>246</v>
      </c>
      <c r="H70" t="s">
        <v>84</v>
      </c>
      <c r="I70" t="s">
        <v>69</v>
      </c>
      <c r="J70">
        <v>405</v>
      </c>
      <c r="K70">
        <v>33.9</v>
      </c>
      <c r="L70">
        <v>33.700000000000003</v>
      </c>
      <c r="M70">
        <v>17.899999999999999</v>
      </c>
      <c r="N70">
        <v>4.7</v>
      </c>
      <c r="O70">
        <v>5</v>
      </c>
      <c r="P70">
        <v>183</v>
      </c>
      <c r="Q70">
        <v>6.1</v>
      </c>
      <c r="R70">
        <v>0</v>
      </c>
    </row>
    <row r="71" spans="1:29" x14ac:dyDescent="0.25">
      <c r="A71" t="s">
        <v>257</v>
      </c>
      <c r="B71" t="s">
        <v>7</v>
      </c>
      <c r="C71" t="s">
        <v>26</v>
      </c>
      <c r="E71" t="s">
        <v>259</v>
      </c>
      <c r="F71" t="s">
        <v>243</v>
      </c>
      <c r="H71" t="s">
        <v>95</v>
      </c>
      <c r="I71" t="s">
        <v>69</v>
      </c>
      <c r="J71">
        <v>374</v>
      </c>
      <c r="K71">
        <v>82.92</v>
      </c>
      <c r="L71">
        <v>10.1</v>
      </c>
      <c r="M71">
        <v>0.44</v>
      </c>
      <c r="N71">
        <v>0</v>
      </c>
      <c r="O71">
        <v>5.8</v>
      </c>
      <c r="P71">
        <v>147</v>
      </c>
      <c r="Q71">
        <v>7.15</v>
      </c>
      <c r="R71">
        <v>0</v>
      </c>
    </row>
    <row r="72" spans="1:29" x14ac:dyDescent="0.25">
      <c r="A72" t="s">
        <v>139</v>
      </c>
      <c r="B72" t="s">
        <v>8</v>
      </c>
      <c r="C72" t="s">
        <v>26</v>
      </c>
      <c r="E72" t="s">
        <v>259</v>
      </c>
      <c r="F72">
        <v>17041</v>
      </c>
      <c r="G72" t="s">
        <v>244</v>
      </c>
      <c r="H72" t="s">
        <v>72</v>
      </c>
      <c r="I72" t="s">
        <v>69</v>
      </c>
      <c r="J72">
        <v>241</v>
      </c>
      <c r="K72">
        <v>41.1</v>
      </c>
      <c r="L72">
        <v>12.2</v>
      </c>
      <c r="M72">
        <v>0.5</v>
      </c>
      <c r="N72">
        <v>0</v>
      </c>
      <c r="O72">
        <v>8.8000000000000007</v>
      </c>
      <c r="P72">
        <v>141</v>
      </c>
      <c r="Q72">
        <v>4.41</v>
      </c>
      <c r="R72">
        <v>0</v>
      </c>
      <c r="AA72">
        <f t="shared" ref="AA72:AC73" si="18">V72/1000</f>
        <v>0</v>
      </c>
      <c r="AB72">
        <f t="shared" si="18"/>
        <v>0</v>
      </c>
      <c r="AC72">
        <f t="shared" si="18"/>
        <v>0</v>
      </c>
    </row>
    <row r="73" spans="1:29" x14ac:dyDescent="0.25">
      <c r="A73" t="s">
        <v>142</v>
      </c>
      <c r="B73" t="s">
        <v>9</v>
      </c>
      <c r="C73" t="s">
        <v>26</v>
      </c>
      <c r="E73" t="s">
        <v>259</v>
      </c>
      <c r="F73" t="s">
        <v>62</v>
      </c>
      <c r="G73" t="s">
        <v>245</v>
      </c>
      <c r="H73" t="s">
        <v>63</v>
      </c>
      <c r="I73" t="s">
        <v>69</v>
      </c>
      <c r="J73">
        <v>63</v>
      </c>
      <c r="K73">
        <v>12.6</v>
      </c>
      <c r="L73">
        <v>1.7</v>
      </c>
      <c r="M73">
        <v>0.6</v>
      </c>
      <c r="N73">
        <v>0</v>
      </c>
      <c r="O73">
        <v>0.7</v>
      </c>
      <c r="P73">
        <v>49</v>
      </c>
      <c r="Q73">
        <v>0.1</v>
      </c>
      <c r="AA73">
        <f t="shared" si="18"/>
        <v>0</v>
      </c>
      <c r="AB73">
        <f t="shared" si="18"/>
        <v>0</v>
      </c>
      <c r="AC73">
        <f t="shared" si="18"/>
        <v>0</v>
      </c>
    </row>
    <row r="74" spans="1:29" x14ac:dyDescent="0.25">
      <c r="A74" t="s">
        <v>141</v>
      </c>
      <c r="B74" t="s">
        <v>10</v>
      </c>
      <c r="C74" t="s">
        <v>26</v>
      </c>
      <c r="E74" t="s">
        <v>259</v>
      </c>
      <c r="F74">
        <v>1573</v>
      </c>
      <c r="G74" t="s">
        <v>246</v>
      </c>
      <c r="H74" t="s">
        <v>96</v>
      </c>
      <c r="I74" t="s">
        <v>69</v>
      </c>
      <c r="J74">
        <v>4</v>
      </c>
      <c r="K74">
        <v>1.6</v>
      </c>
      <c r="L74">
        <v>0.4</v>
      </c>
      <c r="M74">
        <v>0.1</v>
      </c>
      <c r="N74">
        <v>0</v>
      </c>
      <c r="O74">
        <v>0.4</v>
      </c>
      <c r="P74">
        <v>9</v>
      </c>
      <c r="Q74">
        <v>0.4</v>
      </c>
    </row>
    <row r="75" spans="1:29" x14ac:dyDescent="0.25">
      <c r="A75" t="s">
        <v>257</v>
      </c>
      <c r="B75" t="s">
        <v>7</v>
      </c>
      <c r="C75" t="s">
        <v>27</v>
      </c>
      <c r="E75" t="s">
        <v>61</v>
      </c>
      <c r="F75" t="s">
        <v>243</v>
      </c>
      <c r="H75" t="s">
        <v>76</v>
      </c>
      <c r="I75" t="s">
        <v>69</v>
      </c>
      <c r="J75">
        <v>44</v>
      </c>
      <c r="K75">
        <v>3.87</v>
      </c>
      <c r="L75">
        <v>0.23</v>
      </c>
      <c r="M75">
        <v>0</v>
      </c>
      <c r="N75">
        <v>0</v>
      </c>
      <c r="O75">
        <v>0.1</v>
      </c>
      <c r="P75">
        <v>4</v>
      </c>
      <c r="Q75">
        <v>0.02</v>
      </c>
      <c r="R75">
        <v>0</v>
      </c>
    </row>
    <row r="76" spans="1:29" x14ac:dyDescent="0.25">
      <c r="A76" t="s">
        <v>139</v>
      </c>
      <c r="B76" t="s">
        <v>8</v>
      </c>
      <c r="C76" t="s">
        <v>27</v>
      </c>
      <c r="E76" t="s">
        <v>61</v>
      </c>
      <c r="F76">
        <v>17011</v>
      </c>
      <c r="G76" t="s">
        <v>244</v>
      </c>
      <c r="H76" t="s">
        <v>77</v>
      </c>
      <c r="I76" t="s">
        <v>69</v>
      </c>
      <c r="J76">
        <v>29</v>
      </c>
      <c r="K76">
        <v>1.64</v>
      </c>
      <c r="L76">
        <v>0.24</v>
      </c>
      <c r="M76">
        <v>0</v>
      </c>
      <c r="N76">
        <v>0</v>
      </c>
      <c r="O76">
        <v>0.09</v>
      </c>
      <c r="P76">
        <v>4</v>
      </c>
      <c r="Q76">
        <v>0.03</v>
      </c>
      <c r="R76">
        <v>0</v>
      </c>
      <c r="AA76">
        <f t="shared" ref="AA76:AC77" si="19">V76/1000</f>
        <v>0</v>
      </c>
      <c r="AB76">
        <f t="shared" si="19"/>
        <v>0</v>
      </c>
      <c r="AC76">
        <f t="shared" si="19"/>
        <v>0</v>
      </c>
    </row>
    <row r="77" spans="1:29" x14ac:dyDescent="0.25">
      <c r="A77" t="s">
        <v>142</v>
      </c>
      <c r="B77" t="s">
        <v>9</v>
      </c>
      <c r="C77" t="s">
        <v>27</v>
      </c>
      <c r="E77" t="s">
        <v>61</v>
      </c>
      <c r="F77" t="s">
        <v>65</v>
      </c>
      <c r="G77" t="s">
        <v>245</v>
      </c>
      <c r="H77" t="s">
        <v>64</v>
      </c>
      <c r="I77" t="s">
        <v>69</v>
      </c>
      <c r="J77">
        <v>16</v>
      </c>
      <c r="K77">
        <v>3.6</v>
      </c>
      <c r="L77">
        <v>0.4</v>
      </c>
      <c r="N77">
        <v>0</v>
      </c>
      <c r="O77">
        <v>0.2</v>
      </c>
      <c r="P77">
        <v>53</v>
      </c>
      <c r="Q77">
        <v>0.2</v>
      </c>
      <c r="R77">
        <v>0</v>
      </c>
      <c r="AA77">
        <f t="shared" si="19"/>
        <v>0</v>
      </c>
      <c r="AB77">
        <f t="shared" si="19"/>
        <v>0</v>
      </c>
      <c r="AC77">
        <f t="shared" si="19"/>
        <v>0</v>
      </c>
    </row>
    <row r="78" spans="1:29" x14ac:dyDescent="0.25">
      <c r="A78" t="s">
        <v>141</v>
      </c>
      <c r="B78" t="s">
        <v>10</v>
      </c>
      <c r="C78" t="s">
        <v>27</v>
      </c>
      <c r="E78" t="s">
        <v>61</v>
      </c>
      <c r="F78">
        <v>1565</v>
      </c>
      <c r="G78" t="s">
        <v>246</v>
      </c>
      <c r="H78" t="s">
        <v>78</v>
      </c>
      <c r="I78" t="s">
        <v>69</v>
      </c>
      <c r="J78" s="4">
        <v>31</v>
      </c>
      <c r="K78" s="4">
        <v>3.6</v>
      </c>
      <c r="L78" s="4">
        <v>0.5</v>
      </c>
      <c r="N78" s="4"/>
      <c r="O78" s="4">
        <v>0.2</v>
      </c>
      <c r="P78" s="4">
        <v>1</v>
      </c>
      <c r="Q78" s="4">
        <v>0.6</v>
      </c>
      <c r="R78" s="4"/>
    </row>
    <row r="79" spans="1:29" x14ac:dyDescent="0.25">
      <c r="A79" t="s">
        <v>257</v>
      </c>
      <c r="B79" t="s">
        <v>7</v>
      </c>
      <c r="C79" t="s">
        <v>28</v>
      </c>
      <c r="D79" t="s">
        <v>295</v>
      </c>
      <c r="E79" t="s">
        <v>296</v>
      </c>
      <c r="H79" t="s">
        <v>293</v>
      </c>
      <c r="I79" t="s">
        <v>69</v>
      </c>
      <c r="J79">
        <v>384</v>
      </c>
      <c r="K79">
        <v>99.1</v>
      </c>
      <c r="L79">
        <v>0</v>
      </c>
      <c r="M79">
        <v>0</v>
      </c>
      <c r="N79">
        <v>0</v>
      </c>
      <c r="O79">
        <v>0.01</v>
      </c>
      <c r="P79">
        <v>0</v>
      </c>
      <c r="Q79">
        <v>0</v>
      </c>
      <c r="R79">
        <v>0</v>
      </c>
    </row>
    <row r="80" spans="1:29" x14ac:dyDescent="0.25">
      <c r="A80" t="s">
        <v>139</v>
      </c>
      <c r="B80" t="s">
        <v>8</v>
      </c>
      <c r="C80" t="s">
        <v>28</v>
      </c>
      <c r="D80" t="s">
        <v>295</v>
      </c>
      <c r="E80" t="s">
        <v>296</v>
      </c>
      <c r="F80">
        <v>15001</v>
      </c>
      <c r="H80" t="s">
        <v>297</v>
      </c>
      <c r="I80" t="s">
        <v>69</v>
      </c>
      <c r="J80">
        <v>384</v>
      </c>
      <c r="K80">
        <v>99.1</v>
      </c>
      <c r="L80">
        <v>0</v>
      </c>
      <c r="M80">
        <v>0</v>
      </c>
      <c r="O80">
        <v>0.2</v>
      </c>
      <c r="P80">
        <v>5</v>
      </c>
      <c r="Q80">
        <v>0.1</v>
      </c>
      <c r="AA80">
        <f t="shared" ref="AA80:AC81" si="20">V80/1000</f>
        <v>0</v>
      </c>
      <c r="AB80">
        <f t="shared" si="20"/>
        <v>0</v>
      </c>
      <c r="AC80">
        <f t="shared" si="20"/>
        <v>0</v>
      </c>
    </row>
    <row r="81" spans="1:29" x14ac:dyDescent="0.25">
      <c r="A81" t="s">
        <v>142</v>
      </c>
      <c r="B81" t="s">
        <v>9</v>
      </c>
      <c r="C81" t="s">
        <v>28</v>
      </c>
      <c r="D81" t="s">
        <v>295</v>
      </c>
      <c r="E81" t="s">
        <v>296</v>
      </c>
      <c r="I81" t="s">
        <v>69</v>
      </c>
      <c r="AA81">
        <f t="shared" si="20"/>
        <v>0</v>
      </c>
      <c r="AB81">
        <f t="shared" si="20"/>
        <v>0</v>
      </c>
      <c r="AC81">
        <f t="shared" si="20"/>
        <v>0</v>
      </c>
    </row>
    <row r="82" spans="1:29" x14ac:dyDescent="0.25">
      <c r="A82" t="s">
        <v>141</v>
      </c>
      <c r="B82" t="s">
        <v>10</v>
      </c>
      <c r="C82" t="s">
        <v>28</v>
      </c>
      <c r="D82" t="s">
        <v>295</v>
      </c>
      <c r="E82" t="s">
        <v>296</v>
      </c>
      <c r="F82">
        <v>1067</v>
      </c>
      <c r="G82" t="s">
        <v>246</v>
      </c>
      <c r="H82" t="s">
        <v>298</v>
      </c>
      <c r="I82" t="s">
        <v>69</v>
      </c>
      <c r="J82">
        <v>344</v>
      </c>
      <c r="K82">
        <v>88.8</v>
      </c>
      <c r="O82">
        <v>2.4</v>
      </c>
    </row>
    <row r="83" spans="1:29" x14ac:dyDescent="0.25">
      <c r="A83" t="s">
        <v>257</v>
      </c>
      <c r="B83" t="s">
        <v>7</v>
      </c>
      <c r="C83" t="s">
        <v>29</v>
      </c>
      <c r="E83" t="s">
        <v>68</v>
      </c>
      <c r="F83" t="s">
        <v>243</v>
      </c>
      <c r="H83" t="s">
        <v>267</v>
      </c>
      <c r="I83" t="s">
        <v>69</v>
      </c>
      <c r="J83">
        <v>884</v>
      </c>
      <c r="K83">
        <v>0</v>
      </c>
      <c r="L83">
        <v>0</v>
      </c>
      <c r="M83">
        <v>95.95</v>
      </c>
      <c r="N83">
        <v>0</v>
      </c>
      <c r="O83">
        <v>0</v>
      </c>
      <c r="P83">
        <v>70.599999999999994</v>
      </c>
      <c r="Q83">
        <v>2.5</v>
      </c>
      <c r="R83">
        <v>0.24</v>
      </c>
    </row>
    <row r="84" spans="1:29" x14ac:dyDescent="0.25">
      <c r="A84" t="s">
        <v>139</v>
      </c>
      <c r="B84" t="s">
        <v>8</v>
      </c>
      <c r="C84" t="s">
        <v>29</v>
      </c>
      <c r="E84" t="s">
        <v>254</v>
      </c>
      <c r="F84">
        <v>16016</v>
      </c>
      <c r="G84" t="s">
        <v>244</v>
      </c>
      <c r="H84" t="s">
        <v>73</v>
      </c>
      <c r="I84" t="s">
        <v>69</v>
      </c>
      <c r="J84">
        <v>717</v>
      </c>
      <c r="K84">
        <v>0.06</v>
      </c>
      <c r="L84">
        <v>0.85</v>
      </c>
      <c r="M84">
        <v>81.11</v>
      </c>
      <c r="N84">
        <v>0</v>
      </c>
      <c r="O84">
        <v>0.04</v>
      </c>
      <c r="P84">
        <v>24</v>
      </c>
      <c r="Q84">
        <v>0.02</v>
      </c>
      <c r="R84">
        <v>0</v>
      </c>
      <c r="AA84">
        <f t="shared" ref="AA84:AC85" si="21">V84/1000</f>
        <v>0</v>
      </c>
      <c r="AB84">
        <f t="shared" si="21"/>
        <v>0</v>
      </c>
      <c r="AC84">
        <f t="shared" si="21"/>
        <v>0</v>
      </c>
    </row>
    <row r="85" spans="1:29" x14ac:dyDescent="0.25">
      <c r="A85" t="s">
        <v>142</v>
      </c>
      <c r="B85" t="s">
        <v>9</v>
      </c>
      <c r="C85" t="s">
        <v>29</v>
      </c>
      <c r="E85" t="s">
        <v>68</v>
      </c>
      <c r="F85" t="s">
        <v>67</v>
      </c>
      <c r="G85" t="s">
        <v>245</v>
      </c>
      <c r="H85" t="s">
        <v>66</v>
      </c>
      <c r="I85" t="s">
        <v>69</v>
      </c>
      <c r="J85">
        <v>310</v>
      </c>
      <c r="K85">
        <v>2.2000000000000002</v>
      </c>
      <c r="L85">
        <v>4.2</v>
      </c>
      <c r="M85">
        <v>31.6</v>
      </c>
      <c r="O85">
        <v>1</v>
      </c>
      <c r="P85">
        <v>12</v>
      </c>
      <c r="Q85">
        <v>1.5</v>
      </c>
      <c r="R85">
        <v>0</v>
      </c>
      <c r="AA85">
        <f t="shared" si="21"/>
        <v>0</v>
      </c>
      <c r="AB85">
        <f t="shared" si="21"/>
        <v>0</v>
      </c>
      <c r="AC85">
        <f t="shared" si="21"/>
        <v>0</v>
      </c>
    </row>
    <row r="86" spans="1:29" x14ac:dyDescent="0.25">
      <c r="A86" t="s">
        <v>141</v>
      </c>
      <c r="B86" t="s">
        <v>10</v>
      </c>
      <c r="C86" t="s">
        <v>29</v>
      </c>
      <c r="E86" t="s">
        <v>254</v>
      </c>
      <c r="F86">
        <v>1514</v>
      </c>
      <c r="G86" t="s">
        <v>246</v>
      </c>
      <c r="H86" t="s">
        <v>110</v>
      </c>
      <c r="I86" t="s">
        <v>69</v>
      </c>
      <c r="J86">
        <v>685</v>
      </c>
      <c r="K86">
        <v>1.5</v>
      </c>
      <c r="L86">
        <v>0</v>
      </c>
      <c r="M86">
        <v>77.3</v>
      </c>
      <c r="N86">
        <v>0</v>
      </c>
      <c r="O86">
        <v>0.2</v>
      </c>
    </row>
    <row r="87" spans="1:29" x14ac:dyDescent="0.25">
      <c r="A87" t="s">
        <v>141</v>
      </c>
      <c r="B87" t="s">
        <v>10</v>
      </c>
      <c r="C87" t="s">
        <v>222</v>
      </c>
      <c r="D87" t="s">
        <v>199</v>
      </c>
      <c r="E87" t="s">
        <v>35</v>
      </c>
      <c r="F87">
        <v>805</v>
      </c>
      <c r="G87" t="s">
        <v>246</v>
      </c>
      <c r="H87" t="s">
        <v>241</v>
      </c>
      <c r="I87" t="s">
        <v>69</v>
      </c>
      <c r="J87">
        <v>26</v>
      </c>
      <c r="K87">
        <v>5.3</v>
      </c>
      <c r="L87">
        <v>2.1</v>
      </c>
      <c r="M87">
        <v>0.2</v>
      </c>
      <c r="N87">
        <v>0.8</v>
      </c>
      <c r="O87">
        <v>1.8</v>
      </c>
      <c r="P87">
        <v>61</v>
      </c>
      <c r="Q87">
        <v>1.7</v>
      </c>
      <c r="R87">
        <v>46</v>
      </c>
    </row>
    <row r="88" spans="1:29" x14ac:dyDescent="0.25">
      <c r="A88" t="s">
        <v>257</v>
      </c>
      <c r="B88" t="s">
        <v>7</v>
      </c>
      <c r="C88" t="s">
        <v>222</v>
      </c>
      <c r="D88" t="s">
        <v>199</v>
      </c>
      <c r="E88" t="s">
        <v>35</v>
      </c>
      <c r="G88" t="s">
        <v>243</v>
      </c>
      <c r="H88" t="s">
        <v>239</v>
      </c>
      <c r="I88" t="s">
        <v>69</v>
      </c>
      <c r="J88">
        <v>23.5</v>
      </c>
      <c r="K88">
        <v>1.63</v>
      </c>
      <c r="L88">
        <v>2.92</v>
      </c>
      <c r="M88">
        <v>0.24</v>
      </c>
      <c r="N88">
        <v>2.88</v>
      </c>
      <c r="O88">
        <v>1.68</v>
      </c>
      <c r="P88">
        <v>73.33</v>
      </c>
      <c r="Q88">
        <v>4.91</v>
      </c>
      <c r="R88">
        <v>16.2</v>
      </c>
    </row>
    <row r="89" spans="1:29" x14ac:dyDescent="0.25">
      <c r="A89" t="s">
        <v>142</v>
      </c>
      <c r="B89" t="s">
        <v>9</v>
      </c>
      <c r="C89" t="s">
        <v>222</v>
      </c>
      <c r="D89" t="s">
        <v>199</v>
      </c>
      <c r="E89" t="s">
        <v>35</v>
      </c>
      <c r="F89" t="s">
        <v>262</v>
      </c>
      <c r="G89" t="s">
        <v>245</v>
      </c>
      <c r="H89" t="s">
        <v>263</v>
      </c>
      <c r="I89" t="s">
        <v>69</v>
      </c>
      <c r="J89">
        <v>36</v>
      </c>
      <c r="K89">
        <v>2.8</v>
      </c>
      <c r="L89">
        <v>3.9</v>
      </c>
      <c r="M89">
        <v>0.4</v>
      </c>
      <c r="N89">
        <v>2.8</v>
      </c>
      <c r="O89">
        <v>2.2999999999999998</v>
      </c>
      <c r="P89">
        <v>520</v>
      </c>
      <c r="Q89">
        <v>4.9000000000000004</v>
      </c>
      <c r="R89">
        <v>85</v>
      </c>
    </row>
    <row r="90" spans="1:29" x14ac:dyDescent="0.25">
      <c r="A90" t="s">
        <v>139</v>
      </c>
      <c r="B90" t="s">
        <v>8</v>
      </c>
      <c r="C90" t="s">
        <v>222</v>
      </c>
      <c r="D90" t="s">
        <v>199</v>
      </c>
      <c r="E90" t="s">
        <v>35</v>
      </c>
      <c r="F90">
        <v>11083</v>
      </c>
      <c r="G90" t="s">
        <v>244</v>
      </c>
      <c r="H90" t="s">
        <v>240</v>
      </c>
      <c r="I90" t="s">
        <v>69</v>
      </c>
      <c r="J90">
        <v>23</v>
      </c>
      <c r="K90">
        <v>3.63</v>
      </c>
      <c r="L90">
        <v>2.86</v>
      </c>
      <c r="M90">
        <v>0.39</v>
      </c>
      <c r="N90">
        <v>2.2000000000000002</v>
      </c>
      <c r="O90">
        <v>1.72</v>
      </c>
      <c r="P90">
        <v>99</v>
      </c>
      <c r="Q90">
        <v>2.71</v>
      </c>
      <c r="R90">
        <v>28</v>
      </c>
    </row>
  </sheetData>
  <autoFilter ref="A2:R90" xr:uid="{A594BCE6-CB2D-4994-AFC2-8F9077F94D7B}"/>
  <sortState xmlns:xlrd2="http://schemas.microsoft.com/office/spreadsheetml/2017/richdata2" ref="A3:R86">
    <sortCondition ref="D3:D86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F4E6-88B4-49CC-ADA7-F6FF2CFBF191}">
  <dimension ref="C1:C4"/>
  <sheetViews>
    <sheetView workbookViewId="0">
      <selection activeCell="C3" sqref="C3"/>
    </sheetView>
  </sheetViews>
  <sheetFormatPr defaultRowHeight="15" x14ac:dyDescent="0.25"/>
  <sheetData>
    <row r="1" spans="3:3" x14ac:dyDescent="0.25">
      <c r="C1" s="1" t="s">
        <v>31</v>
      </c>
    </row>
    <row r="2" spans="3:3" x14ac:dyDescent="0.25">
      <c r="C2" s="1" t="s">
        <v>32</v>
      </c>
    </row>
    <row r="3" spans="3:3" x14ac:dyDescent="0.25">
      <c r="C3" s="1" t="s">
        <v>33</v>
      </c>
    </row>
    <row r="4" spans="3:3" x14ac:dyDescent="0.25">
      <c r="C4" s="1" t="s">
        <v>34</v>
      </c>
    </row>
  </sheetData>
  <hyperlinks>
    <hyperlink ref="C1" r:id="rId1" xr:uid="{665FECB7-3E96-4593-A8F7-425E698D315F}"/>
    <hyperlink ref="C4" r:id="rId2" xr:uid="{F22A8E65-03B4-4226-8B50-9741188F73EF}"/>
    <hyperlink ref="C3" r:id="rId3" xr:uid="{313DAC46-CFF4-4329-93CE-3F0137049656}"/>
    <hyperlink ref="C2" r:id="rId4" xr:uid="{3B7A6140-8FF0-4472-8B0F-67A74E0F37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A2</vt:lpstr>
      <vt:lpstr>Table A8</vt:lpstr>
      <vt:lpstr>FAO Data A1</vt:lpstr>
      <vt:lpstr>FAO Data A2</vt:lpstr>
      <vt:lpstr>FAO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Webster (bwebster@CGDEV.ORG)</dc:creator>
  <cp:lastModifiedBy>Brian Webster</cp:lastModifiedBy>
  <dcterms:created xsi:type="dcterms:W3CDTF">2025-02-27T17:52:25Z</dcterms:created>
  <dcterms:modified xsi:type="dcterms:W3CDTF">2026-05-28T17:58:50Z</dcterms:modified>
</cp:coreProperties>
</file>